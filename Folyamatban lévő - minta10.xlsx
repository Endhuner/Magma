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ac\Home\Downloads\"/>
    </mc:Choice>
  </mc:AlternateContent>
  <xr:revisionPtr revIDLastSave="0" documentId="8_{B5313827-E068-409E-A9BB-1813186B1823}" xr6:coauthVersionLast="47" xr6:coauthVersionMax="47" xr10:uidLastSave="{00000000-0000-0000-0000-000000000000}"/>
  <bookViews>
    <workbookView xWindow="-120" yWindow="330" windowWidth="51840" windowHeight="20475" tabRatio="714" activeTab="10" xr2:uid="{00000000-000D-0000-FFFF-FFFF00000000}"/>
  </bookViews>
  <sheets>
    <sheet name="Új feladat" sheetId="20" r:id="rId1"/>
    <sheet name="Rendelés" sheetId="1" r:id="rId2"/>
    <sheet name="Gyártás-Csomagolás" sheetId="5" r:id="rId3"/>
    <sheet name="Terméklista" sheetId="2" r:id="rId4"/>
    <sheet name="Céglista" sheetId="3" r:id="rId5"/>
    <sheet name="Szállítólevél" sheetId="14" r:id="rId6"/>
    <sheet name="Rendelésszám" sheetId="21" r:id="rId7"/>
    <sheet name="CMR" sheetId="13" r:id="rId8"/>
    <sheet name="Raklap" sheetId="7" r:id="rId9"/>
    <sheet name="Doboz" sheetId="8" r:id="rId10"/>
    <sheet name="szállító HU" sheetId="10" r:id="rId11"/>
    <sheet name="szállító EN" sheetId="16" r:id="rId12"/>
    <sheet name="szállító EN-or" sheetId="12" r:id="rId13"/>
    <sheet name="Etiket - 40db" sheetId="19" r:id="rId14"/>
    <sheet name="2024 prices" sheetId="18" r:id="rId15"/>
    <sheet name="Raktár 2025" sheetId="22" r:id="rId16"/>
  </sheets>
  <definedNames>
    <definedName name="_xlnm._FilterDatabase" localSheetId="4" hidden="1">Céglista!$C$1:$I$1</definedName>
    <definedName name="_xlnm._FilterDatabase" localSheetId="2" hidden="1">'Gyártás-Csomagolás'!$A$2:$Y$2</definedName>
    <definedName name="_xlnm._FilterDatabase" localSheetId="15" hidden="1">'Raktár 2025'!$A$1:$O$91</definedName>
    <definedName name="_xlnm._FilterDatabase" localSheetId="1" hidden="1">'Rendelés'!$A$2:$S$2</definedName>
    <definedName name="_xlnm._FilterDatabase" localSheetId="3" hidden="1">Terméklista!$A$1:$I$100</definedName>
    <definedName name="Céglista" localSheetId="2">Cégek[[#All],[Vevő név]]</definedName>
    <definedName name="_xlnm.Print_Area" localSheetId="12">'szállító EN-or'!$A$1:$H$52</definedName>
    <definedName name="Termekek">Terméklista!$A:$P</definedName>
    <definedName name="Vevő_név">Céglista!$A$2:$A$13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S100" i="1" l="1"/>
  <c r="I22" i="5"/>
  <c r="N22" i="5"/>
  <c r="I21" i="5"/>
  <c r="N21" i="5"/>
  <c r="I20" i="5"/>
  <c r="N20" i="5"/>
  <c r="I19" i="5"/>
  <c r="N19" i="5"/>
  <c r="I18" i="5"/>
  <c r="N18" i="5"/>
  <c r="I17" i="5"/>
  <c r="N17" i="5"/>
  <c r="I16" i="5"/>
  <c r="N16" i="5"/>
  <c r="I15" i="5"/>
  <c r="N15" i="5"/>
  <c r="I14" i="5"/>
  <c r="N14" i="5"/>
  <c r="I13" i="5"/>
  <c r="N13" i="5"/>
  <c r="I12" i="5"/>
  <c r="N12" i="5"/>
  <c r="I11" i="5"/>
  <c r="N11" i="5"/>
  <c r="I10" i="5"/>
  <c r="N10" i="5"/>
  <c r="I9" i="5"/>
  <c r="N9" i="5"/>
  <c r="I8" i="5"/>
  <c r="N8" i="5"/>
  <c r="I7" i="5"/>
  <c r="N7" i="5"/>
  <c r="I6" i="5"/>
  <c r="N6" i="5"/>
  <c r="I5" i="5"/>
  <c r="N5" i="5"/>
  <c r="N115" i="1"/>
  <c r="O115" i="1"/>
  <c r="P115" i="1" s="1"/>
  <c r="R115" i="1" a="1"/>
  <c r="R115" i="1" s="1"/>
  <c r="S115" i="1"/>
  <c r="N114" i="1"/>
  <c r="O114" i="1"/>
  <c r="P114" i="1" s="1"/>
  <c r="R114" i="1" a="1"/>
  <c r="R114" i="1" s="1"/>
  <c r="S114" i="1"/>
  <c r="N113" i="1"/>
  <c r="O113" i="1"/>
  <c r="P113" i="1" s="1"/>
  <c r="R113" i="1" a="1"/>
  <c r="R113" i="1" s="1"/>
  <c r="S113" i="1"/>
  <c r="N112" i="1"/>
  <c r="O112" i="1"/>
  <c r="P112" i="1" s="1"/>
  <c r="R112" i="1" a="1"/>
  <c r="R112" i="1" s="1"/>
  <c r="S112" i="1"/>
  <c r="N111" i="1"/>
  <c r="O111" i="1"/>
  <c r="P111" i="1" s="1"/>
  <c r="R111" i="1" a="1"/>
  <c r="R111" i="1" s="1"/>
  <c r="S111" i="1"/>
  <c r="N110" i="1"/>
  <c r="O110" i="1"/>
  <c r="P110" i="1" s="1"/>
  <c r="R110" i="1" a="1"/>
  <c r="R110" i="1" s="1"/>
  <c r="S110" i="1"/>
  <c r="N109" i="1"/>
  <c r="O109" i="1"/>
  <c r="P109" i="1" s="1"/>
  <c r="R109" i="1" a="1"/>
  <c r="R109" i="1" s="1"/>
  <c r="S109" i="1"/>
  <c r="C108" i="1"/>
  <c r="F108" i="1"/>
  <c r="N108" i="1"/>
  <c r="O108" i="1"/>
  <c r="P108" i="1" s="1"/>
  <c r="R108" i="1" a="1"/>
  <c r="R108" i="1" s="1"/>
  <c r="S108" i="1"/>
  <c r="Q115" i="1" l="1"/>
  <c r="Q114" i="1"/>
  <c r="Q113" i="1"/>
  <c r="Q112" i="1"/>
  <c r="Q111" i="1"/>
  <c r="Q110" i="1"/>
  <c r="Q109" i="1"/>
  <c r="Q108" i="1"/>
  <c r="C107" i="1"/>
  <c r="F107" i="1"/>
  <c r="N107" i="1"/>
  <c r="O107" i="1"/>
  <c r="P107" i="1" s="1"/>
  <c r="R107" i="1" a="1"/>
  <c r="R107" i="1" s="1"/>
  <c r="S107" i="1"/>
  <c r="C106" i="1"/>
  <c r="F106" i="1"/>
  <c r="N106" i="1"/>
  <c r="O106" i="1"/>
  <c r="P106" i="1" s="1"/>
  <c r="R106" i="1" a="1"/>
  <c r="R106" i="1" s="1"/>
  <c r="S106" i="1"/>
  <c r="C105" i="1"/>
  <c r="F105" i="1"/>
  <c r="N105" i="1"/>
  <c r="O105" i="1"/>
  <c r="P105" i="1" s="1"/>
  <c r="R105" i="1" a="1"/>
  <c r="R105" i="1" s="1"/>
  <c r="S105" i="1"/>
  <c r="C104" i="1"/>
  <c r="F104" i="1"/>
  <c r="N104" i="1"/>
  <c r="O104" i="1"/>
  <c r="P104" i="1" s="1"/>
  <c r="R104" i="1" a="1"/>
  <c r="R104" i="1" s="1"/>
  <c r="S104" i="1"/>
  <c r="C103" i="1"/>
  <c r="F103" i="1"/>
  <c r="N103" i="1"/>
  <c r="O103" i="1"/>
  <c r="P103" i="1" s="1"/>
  <c r="R103" i="1" a="1"/>
  <c r="R103" i="1" s="1"/>
  <c r="S103" i="1"/>
  <c r="C102" i="1"/>
  <c r="F102" i="1"/>
  <c r="N102" i="1"/>
  <c r="O102" i="1"/>
  <c r="P102" i="1" s="1"/>
  <c r="R102" i="1" a="1"/>
  <c r="R102" i="1" s="1"/>
  <c r="S102" i="1"/>
  <c r="C101" i="1"/>
  <c r="F101" i="1"/>
  <c r="N101" i="1"/>
  <c r="O101" i="1"/>
  <c r="P101" i="1" s="1"/>
  <c r="R101" i="1" a="1"/>
  <c r="R101" i="1" s="1"/>
  <c r="S101" i="1"/>
  <c r="C100" i="1"/>
  <c r="F100" i="1"/>
  <c r="N100" i="1"/>
  <c r="O100" i="1"/>
  <c r="P100" i="1" s="1"/>
  <c r="R100" i="1" a="1"/>
  <c r="R100" i="1" s="1"/>
  <c r="C99" i="1"/>
  <c r="F99" i="1"/>
  <c r="N99" i="1"/>
  <c r="O99" i="1"/>
  <c r="P99" i="1" s="1"/>
  <c r="R99" i="1" a="1"/>
  <c r="R99" i="1" s="1"/>
  <c r="S99" i="1"/>
  <c r="C98" i="1"/>
  <c r="F98" i="1"/>
  <c r="N98" i="1"/>
  <c r="O98" i="1"/>
  <c r="P98" i="1" s="1"/>
  <c r="R98" i="1" a="1"/>
  <c r="R98" i="1" s="1"/>
  <c r="S98" i="1"/>
  <c r="N97" i="1"/>
  <c r="O97" i="1"/>
  <c r="P97" i="1" s="1"/>
  <c r="R97" i="1" a="1"/>
  <c r="R97" i="1" s="1"/>
  <c r="S97" i="1"/>
  <c r="N96" i="1"/>
  <c r="O96" i="1"/>
  <c r="P96" i="1" s="1"/>
  <c r="R96" i="1" a="1"/>
  <c r="R96" i="1" s="1"/>
  <c r="S96" i="1"/>
  <c r="N95" i="1"/>
  <c r="O95" i="1"/>
  <c r="P95" i="1" s="1"/>
  <c r="R95" i="1" a="1"/>
  <c r="R95" i="1" s="1"/>
  <c r="S95" i="1"/>
  <c r="C94" i="1"/>
  <c r="F94" i="1"/>
  <c r="N94" i="1"/>
  <c r="O94" i="1"/>
  <c r="P94" i="1" s="1"/>
  <c r="R94" i="1" a="1"/>
  <c r="R94" i="1" s="1"/>
  <c r="S94" i="1"/>
  <c r="C93" i="1"/>
  <c r="F93" i="1"/>
  <c r="N93" i="1"/>
  <c r="O93" i="1"/>
  <c r="P93" i="1" s="1"/>
  <c r="R93" i="1" a="1"/>
  <c r="R93" i="1" s="1"/>
  <c r="S93" i="1"/>
  <c r="C92" i="1"/>
  <c r="F92" i="1"/>
  <c r="N92" i="1"/>
  <c r="O92" i="1"/>
  <c r="P92" i="1" s="1"/>
  <c r="R92" i="1" a="1"/>
  <c r="R92" i="1" s="1"/>
  <c r="S92" i="1"/>
  <c r="S5" i="1"/>
  <c r="S6" i="1"/>
  <c r="S7" i="1"/>
  <c r="S8" i="1"/>
  <c r="S9" i="1"/>
  <c r="S48" i="1"/>
  <c r="S11" i="1"/>
  <c r="S12" i="1"/>
  <c r="S13" i="1"/>
  <c r="S14" i="1"/>
  <c r="S16" i="1"/>
  <c r="S17" i="1"/>
  <c r="S18" i="1"/>
  <c r="S19" i="1"/>
  <c r="S20" i="1"/>
  <c r="S4" i="1"/>
  <c r="S22" i="1"/>
  <c r="S21" i="1"/>
  <c r="S23" i="1"/>
  <c r="S24" i="1"/>
  <c r="S25" i="1"/>
  <c r="S26" i="1"/>
  <c r="S27" i="1"/>
  <c r="S44" i="1"/>
  <c r="S28" i="1"/>
  <c r="S31" i="1"/>
  <c r="S30" i="1"/>
  <c r="S32" i="1"/>
  <c r="S45" i="1"/>
  <c r="S15" i="1"/>
  <c r="S35" i="1"/>
  <c r="S37" i="1"/>
  <c r="S46" i="1"/>
  <c r="S38" i="1"/>
  <c r="S84" i="1"/>
  <c r="S10" i="1"/>
  <c r="S85" i="1"/>
  <c r="S86" i="1"/>
  <c r="S40" i="1"/>
  <c r="S41" i="1"/>
  <c r="S87" i="1"/>
  <c r="S88" i="1"/>
  <c r="S89" i="1"/>
  <c r="S90" i="1"/>
  <c r="S36" i="1"/>
  <c r="S29" i="1"/>
  <c r="S77" i="1"/>
  <c r="S39" i="1"/>
  <c r="S47" i="1"/>
  <c r="S33" i="1"/>
  <c r="S50" i="1"/>
  <c r="S49" i="1"/>
  <c r="S34" i="1"/>
  <c r="S42" i="1"/>
  <c r="S91" i="1"/>
  <c r="S43" i="1"/>
  <c r="S78" i="1"/>
  <c r="S79" i="1"/>
  <c r="S51" i="1"/>
  <c r="S52" i="1"/>
  <c r="S80" i="1"/>
  <c r="S53" i="1"/>
  <c r="S54" i="1"/>
  <c r="S55" i="1"/>
  <c r="S56" i="1"/>
  <c r="S57" i="1"/>
  <c r="S58" i="1"/>
  <c r="S60" i="1"/>
  <c r="S61" i="1"/>
  <c r="S59" i="1"/>
  <c r="S62" i="1"/>
  <c r="S63" i="1"/>
  <c r="S64" i="1"/>
  <c r="S65" i="1"/>
  <c r="S66" i="1"/>
  <c r="S67" i="1"/>
  <c r="S68" i="1"/>
  <c r="S81" i="1"/>
  <c r="S70" i="1"/>
  <c r="S69" i="1"/>
  <c r="S71" i="1"/>
  <c r="S72" i="1"/>
  <c r="S82" i="1"/>
  <c r="S83" i="1"/>
  <c r="S73" i="1"/>
  <c r="S74" i="1"/>
  <c r="S75" i="1"/>
  <c r="S76" i="1"/>
  <c r="S3" i="1"/>
  <c r="C76" i="1"/>
  <c r="F76" i="1"/>
  <c r="N76" i="1"/>
  <c r="O76" i="1"/>
  <c r="P76" i="1" s="1"/>
  <c r="R76" i="1" a="1"/>
  <c r="R76" i="1" s="1"/>
  <c r="C75" i="1"/>
  <c r="F75" i="1"/>
  <c r="N75" i="1"/>
  <c r="O75" i="1"/>
  <c r="P75" i="1" s="1"/>
  <c r="R75" i="1" a="1"/>
  <c r="R75" i="1" s="1"/>
  <c r="C74" i="1"/>
  <c r="F74" i="1"/>
  <c r="N74" i="1"/>
  <c r="O74" i="1"/>
  <c r="P74" i="1" s="1"/>
  <c r="R74" i="1" a="1"/>
  <c r="R74" i="1" s="1"/>
  <c r="C73" i="1"/>
  <c r="F73" i="1"/>
  <c r="N73" i="1"/>
  <c r="O73" i="1"/>
  <c r="P73" i="1" s="1"/>
  <c r="R73" i="1" a="1"/>
  <c r="R73" i="1" s="1"/>
  <c r="N83" i="1"/>
  <c r="O83" i="1"/>
  <c r="P83" i="1" s="1"/>
  <c r="R83" i="1" a="1"/>
  <c r="R83" i="1" s="1"/>
  <c r="N82" i="1"/>
  <c r="O82" i="1"/>
  <c r="P82" i="1" s="1"/>
  <c r="R82" i="1" a="1"/>
  <c r="R82" i="1" s="1"/>
  <c r="C72" i="1"/>
  <c r="F72" i="1"/>
  <c r="N72" i="1"/>
  <c r="O72" i="1"/>
  <c r="P72" i="1" s="1"/>
  <c r="R72" i="1" a="1"/>
  <c r="R72" i="1" s="1"/>
  <c r="C71" i="1"/>
  <c r="F71" i="1"/>
  <c r="N71" i="1"/>
  <c r="O71" i="1"/>
  <c r="P71" i="1" s="1"/>
  <c r="R71" i="1" a="1"/>
  <c r="R71" i="1" s="1"/>
  <c r="E91" i="22"/>
  <c r="F91" i="22" s="1"/>
  <c r="E90" i="22"/>
  <c r="E89" i="22"/>
  <c r="E88" i="22"/>
  <c r="E87" i="22"/>
  <c r="E86" i="22"/>
  <c r="E85" i="22"/>
  <c r="E84" i="22"/>
  <c r="D84" i="22"/>
  <c r="E83" i="22"/>
  <c r="D83" i="22"/>
  <c r="E82" i="22"/>
  <c r="D82" i="22"/>
  <c r="E81" i="22"/>
  <c r="D81" i="22"/>
  <c r="E80" i="22"/>
  <c r="D80" i="22"/>
  <c r="E79" i="22"/>
  <c r="D79" i="22"/>
  <c r="E78" i="22"/>
  <c r="D78" i="22"/>
  <c r="E77" i="22"/>
  <c r="D77" i="22"/>
  <c r="E76" i="22"/>
  <c r="D76" i="22"/>
  <c r="E75" i="22"/>
  <c r="D75" i="22"/>
  <c r="E74" i="22"/>
  <c r="D74" i="22"/>
  <c r="E73" i="22"/>
  <c r="D73" i="22"/>
  <c r="E72" i="22"/>
  <c r="D72" i="22"/>
  <c r="E71" i="22"/>
  <c r="D71" i="22"/>
  <c r="E70" i="22"/>
  <c r="D70" i="22"/>
  <c r="E69" i="22"/>
  <c r="D69" i="22"/>
  <c r="E68" i="22"/>
  <c r="D68" i="22"/>
  <c r="E67" i="22"/>
  <c r="F67" i="22" s="1"/>
  <c r="H67" i="22" s="1"/>
  <c r="I67" i="22" s="1"/>
  <c r="E66" i="22"/>
  <c r="F66" i="22" s="1"/>
  <c r="H66" i="22" s="1"/>
  <c r="I66" i="22" s="1"/>
  <c r="E65" i="22"/>
  <c r="F65" i="22" s="1"/>
  <c r="H65" i="22" s="1"/>
  <c r="I65" i="22" s="1"/>
  <c r="E64" i="22"/>
  <c r="F64" i="22" s="1"/>
  <c r="H64" i="22" s="1"/>
  <c r="I64" i="22" s="1"/>
  <c r="E63" i="22"/>
  <c r="F63" i="22" s="1"/>
  <c r="H63" i="22" s="1"/>
  <c r="I63" i="22" s="1"/>
  <c r="E62" i="22"/>
  <c r="F62" i="22" s="1"/>
  <c r="H62" i="22" s="1"/>
  <c r="I62" i="22" s="1"/>
  <c r="E61" i="22"/>
  <c r="F61" i="22" s="1"/>
  <c r="H61" i="22" s="1"/>
  <c r="I61" i="22" s="1"/>
  <c r="E60" i="22"/>
  <c r="F60" i="22" s="1"/>
  <c r="H60" i="22" s="1"/>
  <c r="I60" i="22" s="1"/>
  <c r="E59" i="22"/>
  <c r="F59" i="22" s="1"/>
  <c r="H59" i="22" s="1"/>
  <c r="I59" i="22" s="1"/>
  <c r="E58" i="22"/>
  <c r="F58" i="22" s="1"/>
  <c r="H58" i="22" s="1"/>
  <c r="I58" i="22" s="1"/>
  <c r="E57" i="22"/>
  <c r="F57" i="22" s="1"/>
  <c r="H57" i="22" s="1"/>
  <c r="I57" i="22" s="1"/>
  <c r="E56" i="22"/>
  <c r="F56" i="22" s="1"/>
  <c r="H56" i="22" s="1"/>
  <c r="I56" i="22" s="1"/>
  <c r="E55" i="22"/>
  <c r="F55" i="22" s="1"/>
  <c r="H55" i="22" s="1"/>
  <c r="I55" i="22" s="1"/>
  <c r="E54" i="22"/>
  <c r="F54" i="22" s="1"/>
  <c r="H54" i="22" s="1"/>
  <c r="I54" i="22" s="1"/>
  <c r="E53" i="22"/>
  <c r="D53" i="22"/>
  <c r="E52" i="22"/>
  <c r="D52" i="22"/>
  <c r="E51" i="22"/>
  <c r="D51" i="22"/>
  <c r="F51" i="22" s="1"/>
  <c r="H51" i="22" s="1"/>
  <c r="I51" i="22" s="1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E28" i="22"/>
  <c r="D28" i="22"/>
  <c r="E27" i="22"/>
  <c r="D27" i="22"/>
  <c r="F27" i="22" s="1"/>
  <c r="H27" i="22" s="1"/>
  <c r="I27" i="22" s="1"/>
  <c r="E26" i="22"/>
  <c r="D26" i="22"/>
  <c r="E25" i="22"/>
  <c r="D25" i="22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E16" i="22"/>
  <c r="D16" i="22"/>
  <c r="E15" i="22"/>
  <c r="D15" i="22"/>
  <c r="E14" i="22"/>
  <c r="D14" i="22"/>
  <c r="E13" i="22"/>
  <c r="D13" i="22"/>
  <c r="E12" i="22"/>
  <c r="D12" i="22"/>
  <c r="E11" i="22"/>
  <c r="D11" i="22"/>
  <c r="E10" i="22"/>
  <c r="D10" i="22"/>
  <c r="E9" i="22"/>
  <c r="D9" i="22"/>
  <c r="E8" i="22"/>
  <c r="D8" i="22"/>
  <c r="E7" i="22"/>
  <c r="D7" i="22"/>
  <c r="E6" i="22"/>
  <c r="D6" i="22"/>
  <c r="E5" i="22"/>
  <c r="D5" i="22"/>
  <c r="E4" i="22"/>
  <c r="D4" i="22"/>
  <c r="E3" i="22"/>
  <c r="D3" i="22"/>
  <c r="E2" i="22"/>
  <c r="D2" i="22"/>
  <c r="F80" i="22" l="1"/>
  <c r="H80" i="22" s="1"/>
  <c r="I80" i="22" s="1"/>
  <c r="F76" i="22"/>
  <c r="H76" i="22" s="1"/>
  <c r="I76" i="22" s="1"/>
  <c r="F72" i="22"/>
  <c r="H72" i="22" s="1"/>
  <c r="I72" i="22" s="1"/>
  <c r="F53" i="22"/>
  <c r="H53" i="22" s="1"/>
  <c r="I53" i="22" s="1"/>
  <c r="F49" i="22"/>
  <c r="H49" i="22" s="1"/>
  <c r="I49" i="22" s="1"/>
  <c r="F45" i="22"/>
  <c r="H45" i="22" s="1"/>
  <c r="I45" i="22" s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76" i="1"/>
  <c r="Q75" i="1"/>
  <c r="Q74" i="1"/>
  <c r="Q73" i="1"/>
  <c r="Q83" i="1"/>
  <c r="Q82" i="1"/>
  <c r="Q72" i="1"/>
  <c r="Q71" i="1"/>
  <c r="F84" i="22"/>
  <c r="H84" i="22" s="1"/>
  <c r="I84" i="22" s="1"/>
  <c r="F83" i="22"/>
  <c r="H83" i="22" s="1"/>
  <c r="I83" i="22" s="1"/>
  <c r="F18" i="22"/>
  <c r="H18" i="22" s="1"/>
  <c r="I18" i="22" s="1"/>
  <c r="F42" i="22"/>
  <c r="H42" i="22" s="1"/>
  <c r="I42" i="22" s="1"/>
  <c r="F34" i="22"/>
  <c r="H34" i="22" s="1"/>
  <c r="I34" i="22" s="1"/>
  <c r="F15" i="22"/>
  <c r="H15" i="22" s="1"/>
  <c r="I15" i="22" s="1"/>
  <c r="F8" i="22"/>
  <c r="H8" i="22" s="1"/>
  <c r="I8" i="22" s="1"/>
  <c r="F38" i="22"/>
  <c r="H38" i="22" s="1"/>
  <c r="I38" i="22" s="1"/>
  <c r="F5" i="22"/>
  <c r="H5" i="22" s="1"/>
  <c r="I5" i="22" s="1"/>
  <c r="F52" i="22"/>
  <c r="H52" i="22" s="1"/>
  <c r="I52" i="22" s="1"/>
  <c r="F26" i="22"/>
  <c r="H26" i="22" s="1"/>
  <c r="I26" i="22" s="1"/>
  <c r="F50" i="22"/>
  <c r="H50" i="22" s="1"/>
  <c r="I50" i="22" s="1"/>
  <c r="F73" i="22"/>
  <c r="H73" i="22" s="1"/>
  <c r="I73" i="22" s="1"/>
  <c r="F12" i="22"/>
  <c r="H12" i="22" s="1"/>
  <c r="I12" i="22" s="1"/>
  <c r="F43" i="22"/>
  <c r="H43" i="22" s="1"/>
  <c r="I43" i="22" s="1"/>
  <c r="F78" i="22"/>
  <c r="H78" i="22" s="1"/>
  <c r="I78" i="22" s="1"/>
  <c r="F21" i="22"/>
  <c r="H21" i="22" s="1"/>
  <c r="I21" i="22" s="1"/>
  <c r="F25" i="22"/>
  <c r="H25" i="22" s="1"/>
  <c r="I25" i="22" s="1"/>
  <c r="F29" i="22"/>
  <c r="H29" i="22" s="1"/>
  <c r="I29" i="22" s="1"/>
  <c r="F37" i="22"/>
  <c r="H37" i="22" s="1"/>
  <c r="I37" i="22" s="1"/>
  <c r="F2" i="22"/>
  <c r="H2" i="22" s="1"/>
  <c r="I2" i="22" s="1"/>
  <c r="F10" i="22"/>
  <c r="H10" i="22" s="1"/>
  <c r="I10" i="22" s="1"/>
  <c r="F71" i="22"/>
  <c r="H71" i="22" s="1"/>
  <c r="I71" i="22" s="1"/>
  <c r="F75" i="22"/>
  <c r="H75" i="22" s="1"/>
  <c r="I75" i="22" s="1"/>
  <c r="F32" i="22"/>
  <c r="H32" i="22" s="1"/>
  <c r="I32" i="22" s="1"/>
  <c r="F13" i="22"/>
  <c r="H13" i="22" s="1"/>
  <c r="I13" i="22" s="1"/>
  <c r="F22" i="22"/>
  <c r="H22" i="22" s="1"/>
  <c r="I22" i="22" s="1"/>
  <c r="F82" i="22"/>
  <c r="H82" i="22" s="1"/>
  <c r="I82" i="22" s="1"/>
  <c r="F16" i="22"/>
  <c r="H16" i="22" s="1"/>
  <c r="I16" i="22" s="1"/>
  <c r="F46" i="22"/>
  <c r="H46" i="22" s="1"/>
  <c r="I46" i="22" s="1"/>
  <c r="F23" i="22"/>
  <c r="H23" i="22" s="1"/>
  <c r="I23" i="22" s="1"/>
  <c r="F69" i="22"/>
  <c r="H69" i="22" s="1"/>
  <c r="I69" i="22" s="1"/>
  <c r="F19" i="22"/>
  <c r="H19" i="22" s="1"/>
  <c r="I19" i="22" s="1"/>
  <c r="F36" i="22"/>
  <c r="H36" i="22" s="1"/>
  <c r="I36" i="22" s="1"/>
  <c r="F68" i="22"/>
  <c r="H68" i="22" s="1"/>
  <c r="I68" i="22" s="1"/>
  <c r="F33" i="22"/>
  <c r="H33" i="22" s="1"/>
  <c r="I33" i="22" s="1"/>
  <c r="F79" i="22"/>
  <c r="H79" i="22" s="1"/>
  <c r="I79" i="22" s="1"/>
  <c r="F6" i="22"/>
  <c r="H6" i="22" s="1"/>
  <c r="I6" i="22" s="1"/>
  <c r="F17" i="22"/>
  <c r="H17" i="22" s="1"/>
  <c r="I17" i="22" s="1"/>
  <c r="F30" i="22"/>
  <c r="H30" i="22" s="1"/>
  <c r="I30" i="22" s="1"/>
  <c r="F44" i="22"/>
  <c r="H44" i="22" s="1"/>
  <c r="I44" i="22" s="1"/>
  <c r="F7" i="22"/>
  <c r="H7" i="22" s="1"/>
  <c r="I7" i="22" s="1"/>
  <c r="F41" i="22"/>
  <c r="H41" i="22" s="1"/>
  <c r="I41" i="22" s="1"/>
  <c r="F70" i="22"/>
  <c r="H70" i="22" s="1"/>
  <c r="I70" i="22" s="1"/>
  <c r="F9" i="22"/>
  <c r="H9" i="22" s="1"/>
  <c r="I9" i="22" s="1"/>
  <c r="F39" i="22"/>
  <c r="H39" i="22" s="1"/>
  <c r="I39" i="22" s="1"/>
  <c r="F3" i="22"/>
  <c r="H3" i="22" s="1"/>
  <c r="I3" i="22" s="1"/>
  <c r="F20" i="22"/>
  <c r="H20" i="22" s="1"/>
  <c r="I20" i="22" s="1"/>
  <c r="F40" i="22"/>
  <c r="H40" i="22" s="1"/>
  <c r="I40" i="22" s="1"/>
  <c r="F47" i="22"/>
  <c r="H47" i="22" s="1"/>
  <c r="I47" i="22" s="1"/>
  <c r="F4" i="22"/>
  <c r="H4" i="22" s="1"/>
  <c r="I4" i="22" s="1"/>
  <c r="F24" i="22"/>
  <c r="H24" i="22" s="1"/>
  <c r="I24" i="22" s="1"/>
  <c r="F11" i="22"/>
  <c r="H11" i="22" s="1"/>
  <c r="I11" i="22" s="1"/>
  <c r="F14" i="22"/>
  <c r="H14" i="22" s="1"/>
  <c r="I14" i="22" s="1"/>
  <c r="F28" i="22"/>
  <c r="H28" i="22" s="1"/>
  <c r="I28" i="22" s="1"/>
  <c r="F31" i="22"/>
  <c r="H31" i="22" s="1"/>
  <c r="I31" i="22" s="1"/>
  <c r="F35" i="22"/>
  <c r="H35" i="22" s="1"/>
  <c r="I35" i="22" s="1"/>
  <c r="F48" i="22"/>
  <c r="H48" i="22" s="1"/>
  <c r="I48" i="22" s="1"/>
  <c r="F74" i="22"/>
  <c r="H74" i="22" s="1"/>
  <c r="I74" i="22" s="1"/>
  <c r="F77" i="22"/>
  <c r="H77" i="22" s="1"/>
  <c r="I77" i="22" s="1"/>
  <c r="F81" i="22"/>
  <c r="H81" i="22" s="1"/>
  <c r="I81" i="22" s="1"/>
  <c r="C69" i="1" l="1"/>
  <c r="F69" i="1"/>
  <c r="N69" i="1"/>
  <c r="O69" i="1"/>
  <c r="P69" i="1" s="1"/>
  <c r="R69" i="1" a="1"/>
  <c r="R69" i="1" s="1"/>
  <c r="F70" i="1"/>
  <c r="C70" i="1"/>
  <c r="N70" i="1"/>
  <c r="O70" i="1"/>
  <c r="P70" i="1" s="1"/>
  <c r="R70" i="1" a="1"/>
  <c r="R70" i="1" s="1"/>
  <c r="N81" i="1"/>
  <c r="O81" i="1"/>
  <c r="P81" i="1" s="1"/>
  <c r="R81" i="1" a="1"/>
  <c r="R81" i="1" s="1"/>
  <c r="Q69" i="1" l="1"/>
  <c r="Q70" i="1"/>
  <c r="Q81" i="1"/>
  <c r="N68" i="1"/>
  <c r="O68" i="1"/>
  <c r="P68" i="1" s="1"/>
  <c r="R68" i="1" a="1"/>
  <c r="R68" i="1" s="1"/>
  <c r="N67" i="1"/>
  <c r="O67" i="1"/>
  <c r="P67" i="1" s="1"/>
  <c r="R67" i="1" a="1"/>
  <c r="R67" i="1" s="1"/>
  <c r="N66" i="1"/>
  <c r="O66" i="1"/>
  <c r="P66" i="1" s="1"/>
  <c r="R66" i="1" a="1"/>
  <c r="R66" i="1" s="1"/>
  <c r="N65" i="1"/>
  <c r="O65" i="1"/>
  <c r="P65" i="1" s="1"/>
  <c r="R65" i="1" a="1"/>
  <c r="R65" i="1" s="1"/>
  <c r="N64" i="1"/>
  <c r="O64" i="1"/>
  <c r="P64" i="1" s="1"/>
  <c r="R64" i="1" a="1"/>
  <c r="R64" i="1" s="1"/>
  <c r="F4" i="20"/>
  <c r="C63" i="1"/>
  <c r="F63" i="1"/>
  <c r="N63" i="1"/>
  <c r="O63" i="1"/>
  <c r="P63" i="1" s="1"/>
  <c r="R63" i="1" a="1"/>
  <c r="R63" i="1" s="1"/>
  <c r="C61" i="1"/>
  <c r="C59" i="1"/>
  <c r="C62" i="1"/>
  <c r="F61" i="1"/>
  <c r="F59" i="1"/>
  <c r="F62" i="1"/>
  <c r="N61" i="1"/>
  <c r="N59" i="1"/>
  <c r="N62" i="1"/>
  <c r="O61" i="1"/>
  <c r="P61" i="1" s="1"/>
  <c r="O59" i="1"/>
  <c r="P59" i="1" s="1"/>
  <c r="O62" i="1"/>
  <c r="P62" i="1" s="1"/>
  <c r="R61" i="1" a="1"/>
  <c r="R61" i="1" s="1"/>
  <c r="R59" i="1" a="1"/>
  <c r="R59" i="1" s="1"/>
  <c r="R62" i="1" a="1"/>
  <c r="R62" i="1" s="1"/>
  <c r="C60" i="1"/>
  <c r="F60" i="1"/>
  <c r="N60" i="1"/>
  <c r="O60" i="1"/>
  <c r="P60" i="1" s="1"/>
  <c r="R60" i="1" a="1"/>
  <c r="R60" i="1" s="1"/>
  <c r="Q68" i="1" l="1"/>
  <c r="Q67" i="1"/>
  <c r="Q66" i="1"/>
  <c r="Q65" i="1"/>
  <c r="Q64" i="1"/>
  <c r="Q63" i="1"/>
  <c r="Q62" i="1"/>
  <c r="Q61" i="1"/>
  <c r="Q59" i="1"/>
  <c r="Q60" i="1"/>
  <c r="C58" i="1"/>
  <c r="F58" i="1"/>
  <c r="N58" i="1"/>
  <c r="O58" i="1"/>
  <c r="P58" i="1" s="1"/>
  <c r="R58" i="1" a="1"/>
  <c r="R58" i="1" s="1"/>
  <c r="C57" i="1"/>
  <c r="F57" i="1"/>
  <c r="N57" i="1"/>
  <c r="O57" i="1"/>
  <c r="P57" i="1" s="1"/>
  <c r="R57" i="1" a="1"/>
  <c r="R57" i="1" s="1"/>
  <c r="C56" i="1"/>
  <c r="F56" i="1"/>
  <c r="N56" i="1"/>
  <c r="O56" i="1"/>
  <c r="P56" i="1" s="1"/>
  <c r="R56" i="1" a="1"/>
  <c r="R56" i="1" s="1"/>
  <c r="C55" i="1"/>
  <c r="F55" i="1"/>
  <c r="N55" i="1"/>
  <c r="O55" i="1"/>
  <c r="P55" i="1" s="1"/>
  <c r="R55" i="1" a="1"/>
  <c r="R55" i="1" s="1"/>
  <c r="C54" i="1"/>
  <c r="F54" i="1"/>
  <c r="N54" i="1"/>
  <c r="O54" i="1"/>
  <c r="P54" i="1" s="1"/>
  <c r="R54" i="1" a="1"/>
  <c r="R54" i="1" s="1"/>
  <c r="C53" i="1"/>
  <c r="F53" i="1"/>
  <c r="N53" i="1"/>
  <c r="O53" i="1"/>
  <c r="P53" i="1" s="1"/>
  <c r="R53" i="1" a="1"/>
  <c r="R53" i="1" s="1"/>
  <c r="N80" i="1"/>
  <c r="O80" i="1"/>
  <c r="P80" i="1" s="1"/>
  <c r="R80" i="1" a="1"/>
  <c r="R80" i="1" s="1"/>
  <c r="C52" i="1"/>
  <c r="F52" i="1"/>
  <c r="N52" i="1"/>
  <c r="O52" i="1"/>
  <c r="P52" i="1" s="1"/>
  <c r="R52" i="1" a="1"/>
  <c r="R52" i="1" s="1"/>
  <c r="C51" i="1"/>
  <c r="F51" i="1"/>
  <c r="N51" i="1"/>
  <c r="O51" i="1"/>
  <c r="P51" i="1" s="1"/>
  <c r="R51" i="1" a="1"/>
  <c r="R51" i="1" s="1"/>
  <c r="N79" i="1"/>
  <c r="O79" i="1"/>
  <c r="P79" i="1" s="1"/>
  <c r="I4" i="5"/>
  <c r="N4" i="5"/>
  <c r="N78" i="1"/>
  <c r="O78" i="1"/>
  <c r="P78" i="1" s="1"/>
  <c r="N89" i="1"/>
  <c r="O89" i="1"/>
  <c r="P89" i="1" s="1"/>
  <c r="R89" i="1" a="1"/>
  <c r="R89" i="1" s="1"/>
  <c r="N87" i="1"/>
  <c r="O87" i="1"/>
  <c r="P87" i="1" s="1"/>
  <c r="R87" i="1" a="1"/>
  <c r="R87" i="1" s="1"/>
  <c r="N84" i="1"/>
  <c r="O84" i="1"/>
  <c r="P84" i="1" s="1"/>
  <c r="R84" i="1" a="1"/>
  <c r="R84" i="1" s="1"/>
  <c r="F5" i="20"/>
  <c r="F6" i="20"/>
  <c r="F7" i="20"/>
  <c r="F8" i="20"/>
  <c r="F9" i="20"/>
  <c r="F10" i="20"/>
  <c r="F11" i="20"/>
  <c r="N3" i="5"/>
  <c r="Q58" i="1" l="1"/>
  <c r="Q57" i="1"/>
  <c r="Q56" i="1"/>
  <c r="Q55" i="1"/>
  <c r="Q54" i="1"/>
  <c r="Q53" i="1"/>
  <c r="Q80" i="1"/>
  <c r="Q52" i="1"/>
  <c r="Q51" i="1"/>
  <c r="Q79" i="1"/>
  <c r="Q78" i="1"/>
  <c r="Q89" i="1"/>
  <c r="Q87" i="1"/>
  <c r="Q84" i="1"/>
  <c r="I3" i="5"/>
  <c r="C50" i="1" l="1"/>
  <c r="N50" i="1"/>
  <c r="O50" i="1"/>
  <c r="P50" i="1" s="1"/>
  <c r="R50" i="1" a="1"/>
  <c r="R50" i="1" s="1"/>
  <c r="Q50" i="1" l="1"/>
  <c r="G30" i="20" l="1"/>
  <c r="C48" i="1"/>
  <c r="F48" i="1"/>
  <c r="N48" i="1"/>
  <c r="O48" i="1"/>
  <c r="P48" i="1" s="1"/>
  <c r="R48" i="1" a="1"/>
  <c r="R48" i="1" s="1"/>
  <c r="Q48" i="1" l="1"/>
  <c r="F91" i="1"/>
  <c r="C91" i="1"/>
  <c r="N91" i="1"/>
  <c r="O91" i="1"/>
  <c r="P91" i="1" s="1"/>
  <c r="R91" i="1" a="1"/>
  <c r="R91" i="1" s="1"/>
  <c r="F49" i="1"/>
  <c r="F47" i="1"/>
  <c r="F46" i="1"/>
  <c r="F45" i="1"/>
  <c r="F44" i="1"/>
  <c r="F43" i="1"/>
  <c r="F34" i="1"/>
  <c r="F86" i="1"/>
  <c r="F88" i="1"/>
  <c r="F39" i="1"/>
  <c r="F33" i="1"/>
  <c r="F77" i="1"/>
  <c r="F42" i="1"/>
  <c r="F36" i="1"/>
  <c r="F90" i="1"/>
  <c r="F85" i="1"/>
  <c r="F29" i="1"/>
  <c r="C49" i="1"/>
  <c r="N49" i="1"/>
  <c r="O49" i="1"/>
  <c r="P49" i="1" s="1"/>
  <c r="R49" i="1" a="1"/>
  <c r="R49" i="1" s="1"/>
  <c r="N47" i="1"/>
  <c r="N46" i="1"/>
  <c r="N45" i="1"/>
  <c r="N44" i="1"/>
  <c r="N43" i="1"/>
  <c r="N34" i="1"/>
  <c r="N86" i="1"/>
  <c r="N88" i="1"/>
  <c r="N39" i="1"/>
  <c r="N33" i="1"/>
  <c r="N77" i="1"/>
  <c r="N42" i="1"/>
  <c r="N36" i="1"/>
  <c r="N90" i="1"/>
  <c r="N85" i="1"/>
  <c r="N29" i="1"/>
  <c r="N10" i="1"/>
  <c r="C47" i="1"/>
  <c r="O47" i="1"/>
  <c r="P47" i="1" s="1"/>
  <c r="R47" i="1" a="1"/>
  <c r="R47" i="1" s="1"/>
  <c r="R46" i="1" a="1"/>
  <c r="R46" i="1" s="1"/>
  <c r="C46" i="1"/>
  <c r="O46" i="1"/>
  <c r="P46" i="1" s="1"/>
  <c r="C45" i="1"/>
  <c r="O45" i="1"/>
  <c r="P45" i="1" s="1"/>
  <c r="R45" i="1" a="1"/>
  <c r="R45" i="1" s="1"/>
  <c r="C44" i="1"/>
  <c r="O44" i="1"/>
  <c r="P44" i="1" s="1"/>
  <c r="R44" i="1" a="1"/>
  <c r="R44" i="1" s="1"/>
  <c r="Q91" i="1" l="1"/>
  <c r="Q49" i="1"/>
  <c r="Q47" i="1"/>
  <c r="Q46" i="1"/>
  <c r="Q45" i="1"/>
  <c r="Q44" i="1"/>
  <c r="C43" i="1"/>
  <c r="O43" i="1"/>
  <c r="P43" i="1" s="1"/>
  <c r="R43" i="1" a="1"/>
  <c r="R43" i="1" s="1"/>
  <c r="Q43" i="1" l="1"/>
  <c r="O34" i="1" l="1"/>
  <c r="P34" i="1" s="1"/>
  <c r="R34" i="1" a="1"/>
  <c r="R34" i="1" s="1"/>
  <c r="Q34" i="1" l="1"/>
  <c r="C86" i="1"/>
  <c r="O86" i="1"/>
  <c r="P86" i="1" s="1"/>
  <c r="R86" i="1" a="1"/>
  <c r="R86" i="1" s="1"/>
  <c r="C88" i="1"/>
  <c r="O88" i="1"/>
  <c r="P88" i="1" s="1"/>
  <c r="R88" i="1" a="1"/>
  <c r="R88" i="1" s="1"/>
  <c r="C42" i="1"/>
  <c r="O42" i="1"/>
  <c r="P42" i="1" s="1"/>
  <c r="R42" i="1" a="1"/>
  <c r="R42" i="1" s="1"/>
  <c r="R10" i="1" a="1"/>
  <c r="R10" i="1" s="1"/>
  <c r="R23" i="1" a="1"/>
  <c r="R23" i="1" s="1"/>
  <c r="R29" i="1" a="1"/>
  <c r="R29" i="1" s="1"/>
  <c r="R32" i="1" a="1"/>
  <c r="R32" i="1" s="1"/>
  <c r="R33" i="1" a="1"/>
  <c r="R33" i="1" s="1"/>
  <c r="R77" i="1" a="1"/>
  <c r="R77" i="1" s="1"/>
  <c r="R38" i="1" a="1"/>
  <c r="R38" i="1" s="1"/>
  <c r="R36" i="1" a="1"/>
  <c r="R36" i="1" s="1"/>
  <c r="R39" i="1" a="1"/>
  <c r="R39" i="1" s="1"/>
  <c r="R40" i="1" a="1"/>
  <c r="R40" i="1" s="1"/>
  <c r="R41" i="1" a="1"/>
  <c r="R41" i="1" s="1"/>
  <c r="C41" i="1"/>
  <c r="F41" i="1"/>
  <c r="N41" i="1"/>
  <c r="O41" i="1"/>
  <c r="P41" i="1" s="1"/>
  <c r="F40" i="1"/>
  <c r="C40" i="1"/>
  <c r="N40" i="1"/>
  <c r="O40" i="1"/>
  <c r="P40" i="1" s="1"/>
  <c r="C39" i="1"/>
  <c r="O39" i="1"/>
  <c r="P39" i="1" s="1"/>
  <c r="F38" i="1"/>
  <c r="F32" i="1"/>
  <c r="F23" i="1"/>
  <c r="Q86" i="1" l="1"/>
  <c r="Q88" i="1"/>
  <c r="Q42" i="1"/>
  <c r="Q41" i="1"/>
  <c r="Q40" i="1"/>
  <c r="Q39" i="1"/>
  <c r="O77" i="1"/>
  <c r="P77" i="1" s="1"/>
  <c r="N38" i="1"/>
  <c r="O38" i="1"/>
  <c r="P38" i="1" s="1"/>
  <c r="O85" i="1"/>
  <c r="P85" i="1" s="1"/>
  <c r="R85" i="1" a="1"/>
  <c r="R85" i="1" s="1"/>
  <c r="O90" i="1"/>
  <c r="P90" i="1" s="1"/>
  <c r="R90" i="1" a="1"/>
  <c r="R90" i="1" s="1"/>
  <c r="O36" i="1"/>
  <c r="P36" i="1" s="1"/>
  <c r="C36" i="1"/>
  <c r="C90" i="1"/>
  <c r="C85" i="1"/>
  <c r="AF9" i="2" a="1"/>
  <c r="AF9" i="2" s="1"/>
  <c r="AG9" i="2" a="1"/>
  <c r="AG9" i="2" s="1"/>
  <c r="V8" i="2" a="1"/>
  <c r="AE9" i="2" s="1" a="1"/>
  <c r="AE9" i="2" s="1"/>
  <c r="G12" i="3"/>
  <c r="F25" i="1"/>
  <c r="F28" i="1"/>
  <c r="C38" i="1"/>
  <c r="F15" i="1"/>
  <c r="F27" i="1"/>
  <c r="F24" i="1"/>
  <c r="F35" i="1"/>
  <c r="F9" i="1"/>
  <c r="F37" i="1"/>
  <c r="C77" i="1"/>
  <c r="F30" i="1"/>
  <c r="V8" i="2" l="1"/>
  <c r="AD9" i="2" a="1"/>
  <c r="AD9" i="2" s="1"/>
  <c r="AD10" i="2" s="1" a="1"/>
  <c r="AD10" i="2" s="1"/>
  <c r="AD11" i="2" s="1" a="1"/>
  <c r="AD11" i="2" s="1"/>
  <c r="AD12" i="2" s="1" a="1"/>
  <c r="AD12" i="2" s="1"/>
  <c r="AD13" i="2" s="1" a="1"/>
  <c r="AD13" i="2" s="1"/>
  <c r="AD14" i="2" s="1" a="1"/>
  <c r="AD14" i="2" s="1"/>
  <c r="AD15" i="2" s="1" a="1"/>
  <c r="AD15" i="2" s="1"/>
  <c r="AD16" i="2" s="1" a="1"/>
  <c r="AD16" i="2" s="1"/>
  <c r="AD17" i="2" s="1" a="1"/>
  <c r="AD17" i="2" s="1"/>
  <c r="AD18" i="2" s="1" a="1"/>
  <c r="AD18" i="2" s="1"/>
  <c r="AD19" i="2" s="1" a="1"/>
  <c r="AD19" i="2" s="1"/>
  <c r="AD20" i="2" s="1" a="1"/>
  <c r="AD20" i="2" s="1"/>
  <c r="AD21" i="2" s="1" a="1"/>
  <c r="AD21" i="2" s="1"/>
  <c r="AD22" i="2" s="1" a="1"/>
  <c r="AD22" i="2" s="1"/>
  <c r="AD23" i="2" s="1" a="1"/>
  <c r="AD23" i="2" s="1"/>
  <c r="AD24" i="2" s="1" a="1"/>
  <c r="AD24" i="2" s="1"/>
  <c r="AD25" i="2" s="1" a="1"/>
  <c r="AD25" i="2" s="1"/>
  <c r="AD26" i="2" s="1" a="1"/>
  <c r="AD26" i="2" s="1"/>
  <c r="AD27" i="2" s="1" a="1"/>
  <c r="AD27" i="2" s="1"/>
  <c r="AD28" i="2" s="1" a="1"/>
  <c r="AD28" i="2" s="1"/>
  <c r="AD29" i="2" s="1" a="1"/>
  <c r="AD29" i="2" s="1"/>
  <c r="AD30" i="2" s="1" a="1"/>
  <c r="AD30" i="2" s="1"/>
  <c r="AD31" i="2" s="1" a="1"/>
  <c r="AD31" i="2" s="1"/>
  <c r="AD32" i="2" s="1" a="1"/>
  <c r="AD32" i="2" s="1"/>
  <c r="AD33" i="2" s="1" a="1"/>
  <c r="AD33" i="2" s="1"/>
  <c r="AD34" i="2" s="1" a="1"/>
  <c r="AD34" i="2" s="1"/>
  <c r="AD35" i="2" s="1" a="1"/>
  <c r="AD35" i="2" s="1"/>
  <c r="AD36" i="2" s="1" a="1"/>
  <c r="AD36" i="2" s="1"/>
  <c r="AD37" i="2" s="1" a="1"/>
  <c r="AD37" i="2" s="1"/>
  <c r="AD38" i="2" s="1" a="1"/>
  <c r="AD38" i="2" s="1"/>
  <c r="AD39" i="2" s="1" a="1"/>
  <c r="AD39" i="2" s="1"/>
  <c r="AD40" i="2" s="1" a="1"/>
  <c r="AD40" i="2" s="1"/>
  <c r="AD41" i="2" s="1" a="1"/>
  <c r="AD41" i="2" s="1"/>
  <c r="AD42" i="2" s="1" a="1"/>
  <c r="AD42" i="2" s="1"/>
  <c r="AD43" i="2" s="1" a="1"/>
  <c r="AD43" i="2" s="1"/>
  <c r="AD44" i="2" s="1" a="1"/>
  <c r="AD44" i="2" s="1"/>
  <c r="AD45" i="2" s="1" a="1"/>
  <c r="AD45" i="2" s="1"/>
  <c r="AD46" i="2" s="1" a="1"/>
  <c r="AD46" i="2" s="1"/>
  <c r="AD47" i="2" s="1" a="1"/>
  <c r="AD47" i="2" s="1"/>
  <c r="AD48" i="2" s="1" a="1"/>
  <c r="AD48" i="2" s="1"/>
  <c r="AD49" i="2" s="1" a="1"/>
  <c r="AD49" i="2" s="1"/>
  <c r="AD50" i="2" s="1" a="1"/>
  <c r="AD50" i="2" s="1"/>
  <c r="AD51" i="2" s="1" a="1"/>
  <c r="AD51" i="2" s="1"/>
  <c r="AD52" i="2" s="1" a="1"/>
  <c r="AD52" i="2" s="1"/>
  <c r="AD53" i="2" s="1" a="1"/>
  <c r="AD53" i="2" s="1"/>
  <c r="AD54" i="2" s="1" a="1"/>
  <c r="AD54" i="2" s="1"/>
  <c r="AD55" i="2" s="1" a="1"/>
  <c r="AD55" i="2" s="1"/>
  <c r="AD56" i="2" s="1" a="1"/>
  <c r="AD56" i="2" s="1"/>
  <c r="AD57" i="2" s="1" a="1"/>
  <c r="AD57" i="2" s="1"/>
  <c r="AD58" i="2" s="1" a="1"/>
  <c r="AD58" i="2" s="1"/>
  <c r="Q36" i="1"/>
  <c r="Q77" i="1"/>
  <c r="Q90" i="1"/>
  <c r="Q85" i="1"/>
  <c r="Q38" i="1"/>
  <c r="AC9" i="2" a="1"/>
  <c r="AC9" i="2" s="1"/>
  <c r="AB9" i="2" a="1"/>
  <c r="AB9" i="2" s="1"/>
  <c r="AA9" i="2" a="1"/>
  <c r="AA9" i="2" s="1"/>
  <c r="Z9" i="2" a="1"/>
  <c r="Z9" i="2" s="1"/>
  <c r="W9" i="2" a="1"/>
  <c r="W9" i="2" s="1"/>
  <c r="X9" i="2" a="1"/>
  <c r="X9" i="2" s="1"/>
  <c r="Y9" i="2" a="1"/>
  <c r="Y9" i="2" s="1"/>
  <c r="G9" i="3"/>
  <c r="H28" i="18"/>
  <c r="I28" i="18" s="1"/>
  <c r="L28" i="18" s="1"/>
  <c r="H29" i="18"/>
  <c r="I29" i="18" s="1"/>
  <c r="L29" i="18" s="1"/>
  <c r="H30" i="18"/>
  <c r="I30" i="18" s="1"/>
  <c r="L30" i="18" s="1"/>
  <c r="H31" i="18"/>
  <c r="I31" i="18" s="1"/>
  <c r="L31" i="18" s="1"/>
  <c r="H32" i="18"/>
  <c r="I32" i="18" s="1"/>
  <c r="L32" i="18" s="1"/>
  <c r="H33" i="18"/>
  <c r="I33" i="18" s="1"/>
  <c r="L33" i="18" s="1"/>
  <c r="H34" i="18"/>
  <c r="I34" i="18" s="1"/>
  <c r="L34" i="18" s="1"/>
  <c r="H35" i="18"/>
  <c r="I35" i="18" s="1"/>
  <c r="L35" i="18" s="1"/>
  <c r="H36" i="18"/>
  <c r="I36" i="18" s="1"/>
  <c r="L36" i="18" s="1"/>
  <c r="H37" i="18"/>
  <c r="I37" i="18" s="1"/>
  <c r="L37" i="18" s="1"/>
  <c r="H38" i="18"/>
  <c r="I38" i="18" s="1"/>
  <c r="L38" i="18" s="1"/>
  <c r="H39" i="18"/>
  <c r="I39" i="18" s="1"/>
  <c r="L39" i="18" s="1"/>
  <c r="H40" i="18"/>
  <c r="I40" i="18" s="1"/>
  <c r="L40" i="18" s="1"/>
  <c r="H41" i="18"/>
  <c r="I41" i="18" s="1"/>
  <c r="L41" i="18" s="1"/>
  <c r="H42" i="18"/>
  <c r="I42" i="18" s="1"/>
  <c r="L42" i="18" s="1"/>
  <c r="H43" i="18"/>
  <c r="I43" i="18" s="1"/>
  <c r="L43" i="18" s="1"/>
  <c r="H44" i="18"/>
  <c r="I44" i="18" s="1"/>
  <c r="L44" i="18" s="1"/>
  <c r="H45" i="18"/>
  <c r="I45" i="18" s="1"/>
  <c r="L45" i="18" s="1"/>
  <c r="H46" i="18"/>
  <c r="I46" i="18" s="1"/>
  <c r="L46" i="18" s="1"/>
  <c r="H47" i="18"/>
  <c r="I47" i="18" s="1"/>
  <c r="L47" i="18" s="1"/>
  <c r="H48" i="18"/>
  <c r="I48" i="18" s="1"/>
  <c r="L48" i="18" s="1"/>
  <c r="H49" i="18"/>
  <c r="I49" i="18" s="1"/>
  <c r="L49" i="18" s="1"/>
  <c r="H50" i="18"/>
  <c r="I50" i="18" s="1"/>
  <c r="L50" i="18" s="1"/>
  <c r="H51" i="18"/>
  <c r="I51" i="18" s="1"/>
  <c r="L51" i="18" s="1"/>
  <c r="H52" i="18"/>
  <c r="I52" i="18" s="1"/>
  <c r="L52" i="18" s="1"/>
  <c r="H53" i="18"/>
  <c r="I53" i="18" s="1"/>
  <c r="L53" i="18" s="1"/>
  <c r="H54" i="18"/>
  <c r="I54" i="18" s="1"/>
  <c r="L54" i="18" s="1"/>
  <c r="H55" i="18"/>
  <c r="I55" i="18" s="1"/>
  <c r="L55" i="18" s="1"/>
  <c r="H56" i="18"/>
  <c r="I56" i="18" s="1"/>
  <c r="L56" i="18" s="1"/>
  <c r="H57" i="18"/>
  <c r="I57" i="18" s="1"/>
  <c r="L57" i="18" s="1"/>
  <c r="H58" i="18"/>
  <c r="I58" i="18" s="1"/>
  <c r="L58" i="18" s="1"/>
  <c r="H59" i="18"/>
  <c r="I59" i="18" s="1"/>
  <c r="L59" i="18" s="1"/>
  <c r="H60" i="18"/>
  <c r="I60" i="18" s="1"/>
  <c r="L60" i="18" s="1"/>
  <c r="H61" i="18"/>
  <c r="I61" i="18" s="1"/>
  <c r="L61" i="18" s="1"/>
  <c r="H62" i="18"/>
  <c r="I62" i="18" s="1"/>
  <c r="L62" i="18" s="1"/>
  <c r="H63" i="18"/>
  <c r="I63" i="18" s="1"/>
  <c r="L63" i="18" s="1"/>
  <c r="H64" i="18"/>
  <c r="I64" i="18" s="1"/>
  <c r="L64" i="18" s="1"/>
  <c r="H65" i="18"/>
  <c r="I65" i="18" s="1"/>
  <c r="L65" i="18" s="1"/>
  <c r="H66" i="18"/>
  <c r="I66" i="18" s="1"/>
  <c r="L66" i="18" s="1"/>
  <c r="H67" i="18"/>
  <c r="I67" i="18" s="1"/>
  <c r="L67" i="18" s="1"/>
  <c r="H68" i="18"/>
  <c r="I68" i="18" s="1"/>
  <c r="L68" i="18" s="1"/>
  <c r="H69" i="18"/>
  <c r="I69" i="18" s="1"/>
  <c r="L69" i="18" s="1"/>
  <c r="H70" i="18"/>
  <c r="I70" i="18" s="1"/>
  <c r="L70" i="18" s="1"/>
  <c r="H71" i="18"/>
  <c r="I71" i="18" s="1"/>
  <c r="L71" i="18" s="1"/>
  <c r="H4" i="18" l="1"/>
  <c r="D4" i="18" s="1"/>
  <c r="I4" i="18" s="1"/>
  <c r="J4" i="18" s="1"/>
  <c r="L4" i="18" s="1"/>
  <c r="M4" i="18" s="1"/>
  <c r="H5" i="18"/>
  <c r="D5" i="18" s="1"/>
  <c r="I5" i="18" s="1"/>
  <c r="J5" i="18" s="1"/>
  <c r="L5" i="18" s="1"/>
  <c r="M5" i="18" s="1"/>
  <c r="H6" i="18"/>
  <c r="D6" i="18" s="1"/>
  <c r="I6" i="18" s="1"/>
  <c r="J6" i="18" s="1"/>
  <c r="L6" i="18" s="1"/>
  <c r="M6" i="18" s="1"/>
  <c r="H7" i="18"/>
  <c r="D7" i="18" s="1"/>
  <c r="I7" i="18" s="1"/>
  <c r="J7" i="18" s="1"/>
  <c r="L7" i="18" s="1"/>
  <c r="M7" i="18" s="1"/>
  <c r="H8" i="18"/>
  <c r="D8" i="18" s="1"/>
  <c r="H9" i="18"/>
  <c r="D9" i="18" s="1"/>
  <c r="I9" i="18" s="1"/>
  <c r="J9" i="18" s="1"/>
  <c r="L9" i="18" s="1"/>
  <c r="M9" i="18" s="1"/>
  <c r="H10" i="18"/>
  <c r="D10" i="18" s="1"/>
  <c r="I10" i="18" s="1"/>
  <c r="J10" i="18" s="1"/>
  <c r="L10" i="18" s="1"/>
  <c r="M10" i="18" s="1"/>
  <c r="H11" i="18"/>
  <c r="D11" i="18" s="1"/>
  <c r="H12" i="18"/>
  <c r="D12" i="18" s="1"/>
  <c r="I12" i="18" s="1"/>
  <c r="J12" i="18" s="1"/>
  <c r="L12" i="18" s="1"/>
  <c r="M12" i="18" s="1"/>
  <c r="H13" i="18"/>
  <c r="D13" i="18" s="1"/>
  <c r="I13" i="18" s="1"/>
  <c r="J13" i="18" s="1"/>
  <c r="L13" i="18" s="1"/>
  <c r="M13" i="18" s="1"/>
  <c r="H14" i="18"/>
  <c r="D14" i="18" s="1"/>
  <c r="I14" i="18" s="1"/>
  <c r="J14" i="18" s="1"/>
  <c r="L14" i="18" s="1"/>
  <c r="M14" i="18" s="1"/>
  <c r="I8" i="18" l="1"/>
  <c r="J8" i="18" s="1"/>
  <c r="L8" i="18" s="1"/>
  <c r="M8" i="18" s="1"/>
  <c r="I11" i="18"/>
  <c r="J11" i="18" s="1"/>
  <c r="L11" i="18" s="1"/>
  <c r="M11" i="18" s="1"/>
  <c r="N27" i="1"/>
  <c r="N15" i="1"/>
  <c r="N14" i="1"/>
  <c r="N30" i="1"/>
  <c r="N5" i="1"/>
  <c r="N37" i="1"/>
  <c r="N35" i="1"/>
  <c r="O35" i="1"/>
  <c r="R35" i="1" a="1"/>
  <c r="N7" i="1"/>
  <c r="N9" i="1"/>
  <c r="N26" i="1"/>
  <c r="N31" i="1"/>
  <c r="O37" i="1"/>
  <c r="N6" i="1"/>
  <c r="N12" i="1"/>
  <c r="N13" i="1"/>
  <c r="N25" i="1"/>
  <c r="N8" i="1"/>
  <c r="N23" i="1"/>
  <c r="R37" i="1" a="1"/>
  <c r="R15" i="1" a="1"/>
  <c r="N4" i="1"/>
  <c r="N22" i="1"/>
  <c r="N28" i="1"/>
  <c r="C37" i="1"/>
  <c r="O15" i="1"/>
  <c r="N17" i="1"/>
  <c r="N21" i="1"/>
  <c r="N16" i="1"/>
  <c r="N24" i="1"/>
  <c r="N11" i="1"/>
  <c r="N32" i="1"/>
  <c r="N18" i="1"/>
  <c r="N19" i="1"/>
  <c r="N20" i="1"/>
  <c r="C15" i="1"/>
  <c r="R15" i="1" l="1"/>
  <c r="R35" i="1"/>
  <c r="R37" i="1"/>
  <c r="P15" i="1"/>
  <c r="P35" i="1"/>
  <c r="P37" i="1"/>
  <c r="Q35" i="1" l="1"/>
  <c r="Q37" i="1"/>
  <c r="Q15" i="1"/>
  <c r="C30" i="1"/>
  <c r="O33" i="1"/>
  <c r="C33" i="1"/>
  <c r="P33" i="1" l="1"/>
  <c r="Q33" i="1" l="1"/>
  <c r="M12" i="7"/>
  <c r="A10" i="7"/>
  <c r="M1" i="5" l="1"/>
  <c r="G11" i="3"/>
  <c r="H33" i="16" l="1"/>
  <c r="G33" i="16"/>
  <c r="F33" i="16"/>
  <c r="E33" i="16"/>
  <c r="O6" i="1"/>
  <c r="F6" i="1"/>
  <c r="F22" i="1"/>
  <c r="F3" i="1"/>
  <c r="F26" i="1"/>
  <c r="F5" i="1"/>
  <c r="F17" i="1"/>
  <c r="F20" i="1"/>
  <c r="F19" i="1"/>
  <c r="F11" i="1"/>
  <c r="F4" i="1"/>
  <c r="F16" i="1"/>
  <c r="F10" i="1"/>
  <c r="O32" i="1"/>
  <c r="P32" i="1" s="1"/>
  <c r="F7" i="1"/>
  <c r="F14" i="1"/>
  <c r="F31" i="1"/>
  <c r="F13" i="1"/>
  <c r="C32" i="1"/>
  <c r="F8" i="1"/>
  <c r="F12" i="1"/>
  <c r="F21" i="1"/>
  <c r="F18" i="1"/>
  <c r="E35" i="12" l="1"/>
  <c r="F35" i="12"/>
  <c r="G35" i="12"/>
  <c r="H35" i="12"/>
  <c r="H47" i="12"/>
  <c r="E33" i="10"/>
  <c r="F33" i="10"/>
  <c r="G33" i="10"/>
  <c r="H33" i="10"/>
  <c r="O29" i="1"/>
  <c r="R13" i="1" a="1"/>
  <c r="C7" i="1"/>
  <c r="O22" i="1"/>
  <c r="R16" i="1" a="1"/>
  <c r="R14" i="1" a="1"/>
  <c r="R7" i="1" a="1"/>
  <c r="R8" i="1" a="1"/>
  <c r="C13" i="1"/>
  <c r="R19" i="1" a="1"/>
  <c r="O27" i="1"/>
  <c r="R9" i="1" a="1"/>
  <c r="O3" i="1"/>
  <c r="N3" i="1"/>
  <c r="R25" i="1" a="1"/>
  <c r="C27" i="1"/>
  <c r="C6" i="1"/>
  <c r="C8" i="1"/>
  <c r="R22" i="1" a="1"/>
  <c r="R27" i="1" a="1"/>
  <c r="O28" i="1"/>
  <c r="P6" i="1"/>
  <c r="O7" i="1"/>
  <c r="O19" i="1"/>
  <c r="O8" i="1"/>
  <c r="R17" i="1" a="1"/>
  <c r="C22" i="1"/>
  <c r="O10" i="1"/>
  <c r="R12" i="1" a="1"/>
  <c r="C11" i="1"/>
  <c r="O18" i="1"/>
  <c r="C26" i="1"/>
  <c r="C17" i="1"/>
  <c r="R6" i="1" a="1"/>
  <c r="C9" i="1"/>
  <c r="C31" i="1"/>
  <c r="O14" i="1"/>
  <c r="O16" i="1"/>
  <c r="C14" i="1"/>
  <c r="O17" i="1"/>
  <c r="R24" i="1" a="1"/>
  <c r="C28" i="1"/>
  <c r="C10" i="1"/>
  <c r="R26" i="1" a="1"/>
  <c r="C29" i="1"/>
  <c r="C24" i="1"/>
  <c r="R31" i="1" a="1"/>
  <c r="C18" i="1"/>
  <c r="O21" i="1"/>
  <c r="O11" i="1"/>
  <c r="O23" i="1"/>
  <c r="O24" i="1"/>
  <c r="R18" i="1" a="1"/>
  <c r="R5" i="1" a="1"/>
  <c r="R21" i="1" a="1"/>
  <c r="R30" i="1" a="1"/>
  <c r="R3" i="1" a="1"/>
  <c r="C25" i="1"/>
  <c r="C16" i="1"/>
  <c r="O31" i="1"/>
  <c r="R11" i="1" a="1"/>
  <c r="O30" i="1"/>
  <c r="C23" i="1"/>
  <c r="C3" i="1"/>
  <c r="O26" i="1"/>
  <c r="O9" i="1"/>
  <c r="R20" i="1" a="1"/>
  <c r="C12" i="1"/>
  <c r="O12" i="1"/>
  <c r="R4" i="1" a="1"/>
  <c r="C21" i="1"/>
  <c r="O5" i="1"/>
  <c r="R28" i="1" a="1"/>
  <c r="C19" i="1"/>
  <c r="C20" i="1"/>
  <c r="C4" i="1"/>
  <c r="O20" i="1"/>
  <c r="O25" i="1"/>
  <c r="O4" i="1"/>
  <c r="O13" i="1"/>
  <c r="C5" i="1"/>
  <c r="R19" i="1" l="1"/>
  <c r="R25" i="1"/>
  <c r="R18" i="1"/>
  <c r="R9" i="1"/>
  <c r="R30" i="1"/>
  <c r="R26" i="1"/>
  <c r="R24" i="1"/>
  <c r="R17" i="1"/>
  <c r="R8" i="1"/>
  <c r="R7" i="1"/>
  <c r="R11" i="1"/>
  <c r="R14" i="1"/>
  <c r="R20" i="1"/>
  <c r="R16" i="1"/>
  <c r="R21" i="1"/>
  <c r="R28" i="1"/>
  <c r="R5" i="1"/>
  <c r="Q32" i="1"/>
  <c r="R27" i="1"/>
  <c r="R31" i="1"/>
  <c r="R6" i="1"/>
  <c r="Q6" i="1" s="1"/>
  <c r="R22" i="1"/>
  <c r="R13" i="1"/>
  <c r="R4" i="1"/>
  <c r="R12" i="1"/>
  <c r="R3" i="1"/>
  <c r="V9" i="2" a="1"/>
  <c r="V9" i="2" s="1"/>
  <c r="P20" i="1"/>
  <c r="P9" i="1"/>
  <c r="P23" i="1"/>
  <c r="P21" i="1"/>
  <c r="P25" i="1"/>
  <c r="P30" i="1"/>
  <c r="P28" i="1"/>
  <c r="P10" i="1"/>
  <c r="P18" i="1"/>
  <c r="P17" i="1"/>
  <c r="P26" i="1"/>
  <c r="P14" i="1"/>
  <c r="P19" i="1"/>
  <c r="P22" i="1"/>
  <c r="P24" i="1"/>
  <c r="P11" i="1"/>
  <c r="P5" i="1"/>
  <c r="P3" i="1"/>
  <c r="P29" i="1"/>
  <c r="P12" i="1"/>
  <c r="P7" i="1"/>
  <c r="P27" i="1"/>
  <c r="P13" i="1"/>
  <c r="P16" i="1"/>
  <c r="P31" i="1"/>
  <c r="P8" i="1"/>
  <c r="P4" i="1"/>
  <c r="R1" i="1" l="1"/>
  <c r="Q28" i="1"/>
  <c r="Q31" i="1"/>
  <c r="Q30" i="1"/>
  <c r="Q25" i="1"/>
  <c r="Q14" i="1"/>
  <c r="Q23" i="1"/>
  <c r="Q29" i="1"/>
  <c r="Q10" i="1"/>
  <c r="Q3" i="1"/>
  <c r="Q16" i="1"/>
  <c r="Q19" i="1"/>
  <c r="Q26" i="1"/>
  <c r="Q9" i="1"/>
  <c r="Q18" i="1"/>
  <c r="Q11" i="1"/>
  <c r="Q12" i="1"/>
  <c r="Q21" i="1"/>
  <c r="Q17" i="1"/>
  <c r="Q20" i="1"/>
  <c r="Q5" i="1"/>
  <c r="Q7" i="1"/>
  <c r="Q24" i="1"/>
  <c r="Q27" i="1"/>
  <c r="Q22" i="1"/>
  <c r="Q4" i="1"/>
  <c r="Q13" i="1"/>
  <c r="Q8" i="1"/>
  <c r="G10" i="3"/>
  <c r="G7" i="3"/>
  <c r="G2" i="3"/>
  <c r="G4" i="3"/>
  <c r="G8" i="3"/>
  <c r="G5" i="3"/>
  <c r="G6" i="3"/>
  <c r="G3" i="3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<sst xmlns="http://purl.oclc.org/ooxml/spreadsheetml/main" count="1980" uniqueCount="722">
  <si>
    <t>Megjegyzés</t>
  </si>
  <si>
    <t>Össz dobozok száma db</t>
  </si>
  <si>
    <t>Össz raklapok száma</t>
  </si>
  <si>
    <t>Össz nettó súly</t>
  </si>
  <si>
    <t>Össz bruttó súly</t>
  </si>
  <si>
    <t>címke adatok/doboz
doboz: termék darab, dátum</t>
  </si>
  <si>
    <t>milyen utómunka kell pl mosás (M), sorjázás (S), koptatás (K) válogatás (V) kézi tördelés (KT) (felsorolás)</t>
  </si>
  <si>
    <t>Utómunka fele kész
(x)</t>
  </si>
  <si>
    <t>Utómunka kész
(x)</t>
  </si>
  <si>
    <t>MEO megtörtént
(x)</t>
  </si>
  <si>
    <t>Selejt %</t>
  </si>
  <si>
    <t>Mérés &amp; Dobozolás kész
(x)</t>
  </si>
  <si>
    <t>Szállítható (dátum)</t>
  </si>
  <si>
    <t>Várható késés 
(x)</t>
  </si>
  <si>
    <t>Új időpont késés esetén</t>
  </si>
  <si>
    <t>M70</t>
  </si>
  <si>
    <t>MA66</t>
  </si>
  <si>
    <t>MA41</t>
  </si>
  <si>
    <t>MA62</t>
  </si>
  <si>
    <t>MA51</t>
  </si>
  <si>
    <t>MB01</t>
  </si>
  <si>
    <t>Ügyfél</t>
  </si>
  <si>
    <t>Fészekszáma</t>
  </si>
  <si>
    <t>Súly/db g</t>
  </si>
  <si>
    <t>B83</t>
  </si>
  <si>
    <t>M66</t>
  </si>
  <si>
    <t>Smartstop-2 Kamm-125-2</t>
  </si>
  <si>
    <t>Smartstop-2 Rasthebel-2</t>
  </si>
  <si>
    <t>Smartstop-2 Sperritzteil-2</t>
  </si>
  <si>
    <t>VARIL/3DURAL2</t>
  </si>
  <si>
    <t>Verdrehsicherung CVLROH</t>
  </si>
  <si>
    <t>Verdrehsicherung W1L-S6</t>
  </si>
  <si>
    <t>Verdrehsicherung W1R-S6</t>
  </si>
  <si>
    <t>Verdrehsicherung W4L-S6</t>
  </si>
  <si>
    <t>B93</t>
  </si>
  <si>
    <t>90ZA-B008-04</t>
  </si>
  <si>
    <t>90ZA-HT004-00</t>
  </si>
  <si>
    <t>90ZA-ZK009-06</t>
  </si>
  <si>
    <t>Euroloc 1 sperrhacken zn</t>
  </si>
  <si>
    <t>Euroloc 2 sperrhacken Zn S</t>
  </si>
  <si>
    <t>Euroloc 3 sperrhacken Zn M(E208)</t>
  </si>
  <si>
    <t>90ZA-ZK001-06</t>
  </si>
  <si>
    <t>90ZA-B003-06</t>
  </si>
  <si>
    <t>MB22</t>
  </si>
  <si>
    <t>Customer</t>
  </si>
  <si>
    <t>Amount/pc</t>
  </si>
  <si>
    <t>Order date (year/month/day)</t>
  </si>
  <si>
    <t>Required delivery date (year/month/day)</t>
  </si>
  <si>
    <t>Actual pickup date (year/month/day)</t>
  </si>
  <si>
    <t xml:space="preserve">Megrendelési információ </t>
  </si>
  <si>
    <t>M83</t>
  </si>
  <si>
    <t>Fehér hüvely</t>
  </si>
  <si>
    <t>email: 21.01.2025</t>
  </si>
  <si>
    <t>x</t>
  </si>
  <si>
    <t>25/00113</t>
  </si>
  <si>
    <t>P6 body</t>
  </si>
  <si>
    <t>YKK fogó</t>
  </si>
  <si>
    <t>Verdrehsicherung C3R Flanch</t>
  </si>
  <si>
    <t>Doboz méret</t>
  </si>
  <si>
    <t>Doboz/db</t>
  </si>
  <si>
    <t>Vevő név</t>
  </si>
  <si>
    <t>Város</t>
  </si>
  <si>
    <t>Irányítószám</t>
  </si>
  <si>
    <t>Utca, házszám</t>
  </si>
  <si>
    <t>Ország</t>
  </si>
  <si>
    <t>Cím</t>
  </si>
  <si>
    <t>Budapest</t>
  </si>
  <si>
    <t>Magyarország</t>
  </si>
  <si>
    <t>Törökbálint</t>
  </si>
  <si>
    <t>2045</t>
  </si>
  <si>
    <t>Alsónémedi</t>
  </si>
  <si>
    <t>RaktárAD utca D3.</t>
  </si>
  <si>
    <t>1211</t>
  </si>
  <si>
    <t>Déli utca 13.</t>
  </si>
  <si>
    <t>Mezőkeresztes</t>
  </si>
  <si>
    <t>3441</t>
  </si>
  <si>
    <t>corpoP6 nyitó</t>
  </si>
  <si>
    <t>R-Szerkterv</t>
  </si>
  <si>
    <t>M 400-2</t>
  </si>
  <si>
    <t>M 400-4</t>
  </si>
  <si>
    <t>Anyag</t>
  </si>
  <si>
    <t xml:space="preserve"> Z410</t>
  </si>
  <si>
    <t>Termék megnevezés</t>
  </si>
  <si>
    <t>Termék rajzszáma</t>
  </si>
  <si>
    <t xml:space="preserve"> rúdadapter</t>
  </si>
  <si>
    <t xml:space="preserve">90ZA-B001-06 </t>
  </si>
  <si>
    <t xml:space="preserve"> zárbetét - 3mm</t>
  </si>
  <si>
    <t xml:space="preserve">90ZA-B004-06 </t>
  </si>
  <si>
    <t xml:space="preserve"> zárbetét</t>
  </si>
  <si>
    <t xml:space="preserve">90ZA-B007-04 </t>
  </si>
  <si>
    <t xml:space="preserve"> zárbetét - 9,5mm 3szög</t>
  </si>
  <si>
    <t xml:space="preserve">90ZA-B009-04 </t>
  </si>
  <si>
    <t xml:space="preserve"> Zárbetét  2x4-es sliccel</t>
  </si>
  <si>
    <t xml:space="preserve">90ZA-B010-04 </t>
  </si>
  <si>
    <t xml:space="preserve"> zárbetét sliccel</t>
  </si>
  <si>
    <t xml:space="preserve">90ZA-B012-06 </t>
  </si>
  <si>
    <t xml:space="preserve"> zárbetét - 8mm</t>
  </si>
  <si>
    <t xml:space="preserve">90ZA-H001-06 </t>
  </si>
  <si>
    <t xml:space="preserve"> zárház</t>
  </si>
  <si>
    <t xml:space="preserve">90ZA-H002-06 </t>
  </si>
  <si>
    <t xml:space="preserve">90ZA-H005-04 </t>
  </si>
  <si>
    <t xml:space="preserve">90ZA-H020-06 </t>
  </si>
  <si>
    <t xml:space="preserve"> lakattal zárható zárház</t>
  </si>
  <si>
    <t xml:space="preserve">90ZA-H021-06 </t>
  </si>
  <si>
    <t xml:space="preserve">90ZA-HT001-00 </t>
  </si>
  <si>
    <t xml:space="preserve"> anya M22x1,5</t>
  </si>
  <si>
    <t xml:space="preserve">90ZA-HT002-00 </t>
  </si>
  <si>
    <t xml:space="preserve"> anya M16x1</t>
  </si>
  <si>
    <t xml:space="preserve">90ZA-NY001-00 </t>
  </si>
  <si>
    <t xml:space="preserve"> fogasnyelv</t>
  </si>
  <si>
    <t xml:space="preserve">90ZA-ZK006-06 </t>
  </si>
  <si>
    <t xml:space="preserve"> kulcs - 8mm</t>
  </si>
  <si>
    <t xml:space="preserve">90ZA-ZK008-06 </t>
  </si>
  <si>
    <t xml:space="preserve"> kiskulcs - 3mm</t>
  </si>
  <si>
    <t xml:space="preserve">90ZA-ZK010-06  </t>
  </si>
  <si>
    <t xml:space="preserve"> kereszt kulcs</t>
  </si>
  <si>
    <t xml:space="preserve">90ZA-ZK011-06 </t>
  </si>
  <si>
    <t xml:space="preserve"> nagykulcs - 3mm</t>
  </si>
  <si>
    <t xml:space="preserve">90ZA-ZK012-06 </t>
  </si>
  <si>
    <t xml:space="preserve"> nagykulcs - 5mm</t>
  </si>
  <si>
    <t xml:space="preserve">90ZA-ZS001-06 </t>
  </si>
  <si>
    <t xml:space="preserve"> Zsanérbelső</t>
  </si>
  <si>
    <t xml:space="preserve">90ZA-ZS002-06 </t>
  </si>
  <si>
    <t xml:space="preserve"> Zsanérkülső</t>
  </si>
  <si>
    <t xml:space="preserve">90ZA-ZS005-06 </t>
  </si>
  <si>
    <t xml:space="preserve"> zsanértest</t>
  </si>
  <si>
    <t xml:space="preserve">90ZA-ZS013-06 </t>
  </si>
  <si>
    <t xml:space="preserve">90ZA-ZS016-06 </t>
  </si>
  <si>
    <t xml:space="preserve"> zsanérbelső</t>
  </si>
  <si>
    <t xml:space="preserve">90ZA-ZS017-06 </t>
  </si>
  <si>
    <t xml:space="preserve"> zsanérkülső</t>
  </si>
  <si>
    <t xml:space="preserve">90ZA-ZS019-16 </t>
  </si>
  <si>
    <t xml:space="preserve">91ZA-HT001-00 </t>
  </si>
  <si>
    <t xml:space="preserve"> betét</t>
  </si>
  <si>
    <t xml:space="preserve">91ZA-H0006-06 </t>
  </si>
  <si>
    <t xml:space="preserve">91ZA-F002-06 </t>
  </si>
  <si>
    <t xml:space="preserve">91ZA-NY003-00 </t>
  </si>
  <si>
    <t xml:space="preserve">99ZA-B001-06 </t>
  </si>
  <si>
    <t xml:space="preserve"> zárbetét - 6mm 4szög</t>
  </si>
  <si>
    <t xml:space="preserve">99ZA-H001-06 </t>
  </si>
  <si>
    <t xml:space="preserve"> Minkels zárház</t>
  </si>
  <si>
    <t xml:space="preserve">99ZA-NY001-00 </t>
  </si>
  <si>
    <t xml:space="preserve">99ZA-ZS001-06 </t>
  </si>
  <si>
    <t xml:space="preserve"> zsanér</t>
  </si>
  <si>
    <t xml:space="preserve">90ZA-ZK007-06 </t>
  </si>
  <si>
    <t>kulcs 10mm 3szög</t>
  </si>
  <si>
    <t>90ZA-ZS004-00</t>
  </si>
  <si>
    <t>90ZA-ZS023-06</t>
  </si>
  <si>
    <t xml:space="preserve"> Zanér fél</t>
  </si>
  <si>
    <t>Töltő sin</t>
  </si>
  <si>
    <t>Pánt</t>
  </si>
  <si>
    <t>Szíj rövid</t>
  </si>
  <si>
    <t>Szíj hosszú</t>
  </si>
  <si>
    <t>Szíj doboz</t>
  </si>
  <si>
    <t>Lánctalp</t>
  </si>
  <si>
    <t>Magasságállító</t>
  </si>
  <si>
    <t>Ela Solutions Kft.</t>
  </si>
  <si>
    <t>FSD Park  4</t>
  </si>
  <si>
    <t>12072260-2-13</t>
  </si>
  <si>
    <t>Arsisco AMO Pack LLC</t>
  </si>
  <si>
    <t>Bishkek</t>
  </si>
  <si>
    <t>720040</t>
  </si>
  <si>
    <t>Yusup Abdrahmanov street 146</t>
  </si>
  <si>
    <t>Kirgizisztán</t>
  </si>
  <si>
    <t>1003202210384</t>
  </si>
  <si>
    <t>Fasten Italia S.R.L</t>
  </si>
  <si>
    <t>Albaredo Di Vedelago(Tv)</t>
  </si>
  <si>
    <t>31030</t>
  </si>
  <si>
    <t>Via Dei Piazotti  24</t>
  </si>
  <si>
    <t>Olaszország</t>
  </si>
  <si>
    <t>IT03425940263</t>
  </si>
  <si>
    <t>Ironicon Kft.</t>
  </si>
  <si>
    <t>14778182-2-43</t>
  </si>
  <si>
    <t>Ligeti Péter</t>
  </si>
  <si>
    <t>1205</t>
  </si>
  <si>
    <t>Határ út 57</t>
  </si>
  <si>
    <t>40307411-2-43</t>
  </si>
  <si>
    <t>R-Plast Manufacturing Kft</t>
  </si>
  <si>
    <t>Mihály utca 142</t>
  </si>
  <si>
    <t>26670809-2-05</t>
  </si>
  <si>
    <t>Seidel Gmbh&amp;co Kg</t>
  </si>
  <si>
    <t>DE113353335</t>
  </si>
  <si>
    <t>Systec Pos-Technology Gmbh</t>
  </si>
  <si>
    <t>Puchheim</t>
  </si>
  <si>
    <t>82178</t>
  </si>
  <si>
    <t>Lindberghstrasse  8</t>
  </si>
  <si>
    <t>DE128246029</t>
  </si>
  <si>
    <t>Adószám</t>
  </si>
  <si>
    <t>R-Szerkterv Kft.</t>
  </si>
  <si>
    <t>14309041-2-41</t>
  </si>
  <si>
    <t>M251002</t>
  </si>
  <si>
    <t>205x210x215</t>
  </si>
  <si>
    <t>205x210x90</t>
  </si>
  <si>
    <t>205x210x205</t>
  </si>
  <si>
    <t>Termék neve</t>
  </si>
  <si>
    <t>Rendelési szám</t>
  </si>
  <si>
    <t>Saját rendelési szám</t>
  </si>
  <si>
    <t>M251001</t>
  </si>
  <si>
    <t>Raktár</t>
  </si>
  <si>
    <t>Megnevezése</t>
  </si>
  <si>
    <t>Felületkezelés</t>
  </si>
  <si>
    <t>Galvanizálás</t>
  </si>
  <si>
    <t>M251003</t>
  </si>
  <si>
    <t>Tervezett gyártási idő</t>
  </si>
  <si>
    <t>Logó</t>
  </si>
  <si>
    <t>Doboz/Raklap</t>
  </si>
  <si>
    <t>Lila</t>
  </si>
  <si>
    <t>Szállításra kész</t>
  </si>
  <si>
    <t>Utómunka idő</t>
  </si>
  <si>
    <t>Utómunkák</t>
  </si>
  <si>
    <t>Ciklus idő</t>
  </si>
  <si>
    <t>Budapest,</t>
  </si>
  <si>
    <t>Átvevő</t>
  </si>
  <si>
    <t>Kiállító</t>
  </si>
  <si>
    <t>Összesítő</t>
  </si>
  <si>
    <t>Bruttó súly (kg)</t>
  </si>
  <si>
    <t>Raklap szám</t>
  </si>
  <si>
    <t>Doboz szám</t>
  </si>
  <si>
    <t>Nettó súly (kg)</t>
  </si>
  <si>
    <t>Darab</t>
  </si>
  <si>
    <t>Megnevezés</t>
  </si>
  <si>
    <t>Tétel</t>
  </si>
  <si>
    <t>átutalás</t>
  </si>
  <si>
    <t>Szállítás dátuma</t>
  </si>
  <si>
    <t>Fizetés módja</t>
  </si>
  <si>
    <t>Megrendelés kelte</t>
  </si>
  <si>
    <t>Megrendelés száma</t>
  </si>
  <si>
    <t>Adószám: 10368152-2-43</t>
  </si>
  <si>
    <t>Budapest, Déli u. 13, HU 1211</t>
  </si>
  <si>
    <t xml:space="preserve">Magma Kft </t>
  </si>
  <si>
    <t>Címzett:</t>
  </si>
  <si>
    <r>
      <t>Feladó:</t>
    </r>
    <r>
      <rPr>
        <sz val="11"/>
        <color theme="1"/>
        <rFont val="Calibri"/>
        <family val="2"/>
        <scheme val="minor"/>
      </rPr>
      <t xml:space="preserve">        </t>
    </r>
  </si>
  <si>
    <t>0021/2023</t>
  </si>
  <si>
    <t>Bizonylat sorszáma:</t>
  </si>
  <si>
    <t>Szállítólevél</t>
  </si>
  <si>
    <t>Reciever</t>
  </si>
  <si>
    <t>Sender</t>
  </si>
  <si>
    <t>Total</t>
  </si>
  <si>
    <t>250.000</t>
  </si>
  <si>
    <t xml:space="preserve">MA66 Ringgewicht zamak
</t>
  </si>
  <si>
    <t>Gross weight  (kg)</t>
  </si>
  <si>
    <t>No. Of palets</t>
  </si>
  <si>
    <t>No. of box</t>
  </si>
  <si>
    <t>Net weight (kg)</t>
  </si>
  <si>
    <t>Qty</t>
  </si>
  <si>
    <t>Product description</t>
  </si>
  <si>
    <t>Item</t>
  </si>
  <si>
    <t>bank transfer</t>
  </si>
  <si>
    <t>4500089126 (POS020)</t>
  </si>
  <si>
    <t>Delivery date 
(DMY)</t>
  </si>
  <si>
    <t>Payment term</t>
  </si>
  <si>
    <t>Order Date
(DMY)</t>
  </si>
  <si>
    <t>Order No.</t>
  </si>
  <si>
    <t>VAT no.: DE113353335</t>
  </si>
  <si>
    <t>VAT no.: HU10368152</t>
  </si>
  <si>
    <t>35112 Fronhausen, Marburger str. 60</t>
  </si>
  <si>
    <t>Budapest, Déli u. 13, Hungary, H-1211</t>
  </si>
  <si>
    <t>Seidel GMBh</t>
  </si>
  <si>
    <t>To</t>
  </si>
  <si>
    <t>From</t>
  </si>
  <si>
    <t>Delivery note No:</t>
  </si>
  <si>
    <t>Delivery Note</t>
  </si>
  <si>
    <t>Registration number- Kennzeichen- Rendszám</t>
  </si>
  <si>
    <t>Germany</t>
  </si>
  <si>
    <t>Country/Land/ország</t>
  </si>
  <si>
    <t>Place/Ort/helység</t>
  </si>
  <si>
    <r>
      <rPr>
        <sz val="11"/>
        <rFont val="Arial"/>
        <family val="2"/>
      </rPr>
      <t>INTERNATIONAL CONSIGNMENT NOTE</t>
    </r>
  </si>
  <si>
    <t>Kaufer :</t>
  </si>
  <si>
    <t>MAGMA KFT</t>
  </si>
  <si>
    <t>Déli u.13.</t>
  </si>
  <si>
    <t>H - 1211</t>
  </si>
  <si>
    <t xml:space="preserve">Absender : </t>
  </si>
  <si>
    <t xml:space="preserve">Nettó gewicht: </t>
  </si>
  <si>
    <t>Bruttó:</t>
  </si>
  <si>
    <t>Order No:</t>
  </si>
  <si>
    <t>stück/karton</t>
  </si>
  <si>
    <t>karton</t>
  </si>
  <si>
    <t>Számlázva
(x)</t>
  </si>
  <si>
    <t>90ZA-AD001-00</t>
  </si>
  <si>
    <t>M251004</t>
  </si>
  <si>
    <t>M251005</t>
  </si>
  <si>
    <t>M251006</t>
  </si>
  <si>
    <t>M251007</t>
  </si>
  <si>
    <t>M251008</t>
  </si>
  <si>
    <t>M251009</t>
  </si>
  <si>
    <t>M251010</t>
  </si>
  <si>
    <t>M251011</t>
  </si>
  <si>
    <t>M251012</t>
  </si>
  <si>
    <t>M251013</t>
  </si>
  <si>
    <t>M251014</t>
  </si>
  <si>
    <t>M251015</t>
  </si>
  <si>
    <t>M251016</t>
  </si>
  <si>
    <t>M251017</t>
  </si>
  <si>
    <t>M251018</t>
  </si>
  <si>
    <t>M251019</t>
  </si>
  <si>
    <t>M251020</t>
  </si>
  <si>
    <t>M251021</t>
  </si>
  <si>
    <t>M251022</t>
  </si>
  <si>
    <t>M251023</t>
  </si>
  <si>
    <t>M251024</t>
  </si>
  <si>
    <t>M251025</t>
  </si>
  <si>
    <t>M251026</t>
  </si>
  <si>
    <t>M251027</t>
  </si>
  <si>
    <t>1 menet</t>
  </si>
  <si>
    <t>90ZA-B0011-06</t>
  </si>
  <si>
    <t>M251028</t>
  </si>
  <si>
    <t>Mennyiség</t>
  </si>
  <si>
    <t>Dobozok száma</t>
  </si>
  <si>
    <t>Szükséges anyagmennyiség</t>
  </si>
  <si>
    <t>Cég</t>
  </si>
  <si>
    <t>Száma</t>
  </si>
  <si>
    <t>0012</t>
  </si>
  <si>
    <t>Ela</t>
  </si>
  <si>
    <t>Szállító Nyelve</t>
  </si>
  <si>
    <t>EN</t>
  </si>
  <si>
    <t>HU</t>
  </si>
  <si>
    <t>21. Ausgefertigt in          Kiállitás helye,</t>
  </si>
  <si>
    <t>am       on</t>
  </si>
  <si>
    <t>Signature and stamp of the consignee       Az átvevő aláírása és bélyezője</t>
  </si>
  <si>
    <r>
      <rPr>
        <vertAlign val="subscript"/>
        <sz val="8"/>
        <rFont val="Arial"/>
        <family val="2"/>
      </rPr>
      <t>24.</t>
    </r>
    <r>
      <rPr>
        <sz val="8"/>
        <rFont val="Arial"/>
        <family val="2"/>
      </rPr>
      <t xml:space="preserve">Goods received             Date    
    Áru átvétele                  dátum
                                                                                                </t>
    </r>
  </si>
  <si>
    <t>23. Fuvaroó aláírása és bélyegzője
Signature and stamp of the carrier</t>
  </si>
  <si>
    <r>
      <rPr>
        <sz val="8"/>
        <rFont val="Arial"/>
        <family val="2"/>
      </rPr>
      <t xml:space="preserve">25. Vehicle       </t>
    </r>
    <r>
      <rPr>
        <sz val="7"/>
        <rFont val="Arial"/>
        <family val="2"/>
      </rPr>
      <t xml:space="preserve">
        Jármű</t>
    </r>
  </si>
  <si>
    <t>NEMZETKÖZI FUVARLEVÉL</t>
  </si>
  <si>
    <t>16. Carrier (Name, Address, Country) Fuvarozó (Név, cím, ország)</t>
  </si>
  <si>
    <t>17  Successive carriers (Name, Address, Country) További fuvarozó (Név, cím, ország)</t>
  </si>
  <si>
    <t>18. Carrier's reservations and observations
A fuvarozó fenntartásai és bejegyzése</t>
  </si>
  <si>
    <t>5. Mellékelt okmány, Documents attached</t>
  </si>
  <si>
    <t xml:space="preserve">2. Átvevő (Név, cím, ország) Consignee (Name, Address, Country)      </t>
  </si>
  <si>
    <t>13. Sender's instructions (Customs and other formalities)
Feladó rendelkezései (Vám és egyéb hivatalos kezelés)</t>
  </si>
  <si>
    <r>
      <rPr>
        <sz val="8"/>
        <rFont val="Arial"/>
        <family val="2"/>
      </rPr>
      <t xml:space="preserve">19. </t>
    </r>
    <r>
      <rPr>
        <vertAlign val="superscript"/>
        <sz val="10"/>
        <rFont val="Arial"/>
        <family val="2"/>
        <charset val="238"/>
      </rPr>
      <t>To be paied by</t>
    </r>
    <r>
      <rPr>
        <vertAlign val="superscript"/>
        <sz val="7"/>
        <rFont val="Arial"/>
        <family val="2"/>
      </rPr>
      <t xml:space="preserve">:
</t>
    </r>
    <r>
      <rPr>
        <sz val="7"/>
        <rFont val="Arial"/>
        <family val="2"/>
      </rPr>
      <t xml:space="preserve">         Fiezetendő:</t>
    </r>
  </si>
  <si>
    <t>Sender
Feladő</t>
  </si>
  <si>
    <t>Currency
Pénznem</t>
  </si>
  <si>
    <t>Consignee
Átvevő</t>
  </si>
  <si>
    <t>Carriage charges /Fuvardíj</t>
  </si>
  <si>
    <t>Supplem charges Pluszköltség</t>
  </si>
  <si>
    <t>Other charges Extra / más egyéb költség</t>
  </si>
  <si>
    <t>Total to be paied
Teljes költség</t>
  </si>
  <si>
    <r>
      <rPr>
        <vertAlign val="subscript"/>
        <sz val="8"/>
        <rFont val="Arial"/>
        <family val="2"/>
      </rPr>
      <t xml:space="preserve">14. </t>
    </r>
    <r>
      <rPr>
        <sz val="7"/>
        <rFont val="Arial"/>
        <family val="2"/>
      </rPr>
      <t xml:space="preserve">Cash on delivery
      Visszatérítés </t>
    </r>
  </si>
  <si>
    <t>15. Directions as to payment for carriage
      Fuvardíjfizetési meghagyások</t>
  </si>
  <si>
    <t>20. Special agreements
      Egyedi megállapodások</t>
  </si>
  <si>
    <t>22. A feladó aláírása és bélyegzője   
Signature and stamp of the sender</t>
  </si>
  <si>
    <t>2025/22</t>
  </si>
  <si>
    <t>9. Nature of the goods  Áru megnevezése</t>
  </si>
  <si>
    <t>6. Marks and Nos
     Jel és szám</t>
  </si>
  <si>
    <t>10. Statistical num.
Statisztikai szám</t>
  </si>
  <si>
    <t>12. Volume in m3
Térfogat m3</t>
  </si>
  <si>
    <r>
      <t xml:space="preserve">11. Gross weight </t>
    </r>
    <r>
      <rPr>
        <b/>
        <sz val="7"/>
        <rFont val="Arial"/>
        <family val="2"/>
      </rPr>
      <t>kg</t>
    </r>
    <r>
      <rPr>
        <sz val="7"/>
        <rFont val="Arial"/>
        <family val="2"/>
      </rPr>
      <t xml:space="preserve">
Bruttósúly i </t>
    </r>
    <r>
      <rPr>
        <b/>
        <sz val="7"/>
        <rFont val="Arial"/>
        <family val="2"/>
      </rPr>
      <t>kg</t>
    </r>
  </si>
  <si>
    <t xml:space="preserve">A fuvarozásra elétrő megállapodás esetén is a nemzetközi árufuvarozási egyezmény CMR rendelkezései az irányagók </t>
  </si>
  <si>
    <t>This carriage is subject, nothwith- standing any clause to the contrary to the Convention on the Contract for the international Carriage of goods by road (CMR).</t>
  </si>
  <si>
    <t>3. Az áru átvételének helye és iőpontja.                                                     Place of delivery of the goods</t>
  </si>
  <si>
    <t>4. Az áru átvételének helye és időponja                                                   Place and date of taking over of the goods</t>
  </si>
  <si>
    <t xml:space="preserve">7. Number of packages  Darabszám                                        </t>
  </si>
  <si>
    <t>8. Method of packing   Csomagolás</t>
  </si>
  <si>
    <t>2025/24</t>
  </si>
  <si>
    <t>Gramm Technik GmbH</t>
  </si>
  <si>
    <t>Ditzingen-Heimerdingen</t>
  </si>
  <si>
    <t>Otto-Hahn-StraBe Tor 2</t>
  </si>
  <si>
    <t>Hungary</t>
  </si>
  <si>
    <t>Műanyag</t>
  </si>
  <si>
    <t>stück</t>
  </si>
  <si>
    <t>M251029</t>
  </si>
  <si>
    <t>M251030</t>
  </si>
  <si>
    <t>M251031</t>
  </si>
  <si>
    <t>M251032</t>
  </si>
  <si>
    <t>M251033</t>
  </si>
  <si>
    <t xml:space="preserve"> Z414</t>
  </si>
  <si>
    <r>
      <t xml:space="preserve">1. Feladó (Név, cím, ország), Sender (Name, Address, Country)
</t>
    </r>
    <r>
      <rPr>
        <b/>
        <sz val="10"/>
        <rFont val="Arial"/>
        <family val="2"/>
        <charset val="238"/>
      </rPr>
      <t>Magma Kft
H-1211 Budapest, Déli utca 13.
HU10368152-2-43</t>
    </r>
  </si>
  <si>
    <t>2025/23</t>
  </si>
  <si>
    <t>GEWICHT MB22</t>
  </si>
  <si>
    <t>GEWICHT MB01</t>
  </si>
  <si>
    <t>GEWICHT MA66</t>
  </si>
  <si>
    <t>RING ZAMAK</t>
  </si>
  <si>
    <t>RING ZAMAK 15 ML</t>
  </si>
  <si>
    <t>GEWICHT M41</t>
  </si>
  <si>
    <t>WEIGHT 50 ML</t>
  </si>
  <si>
    <t>RING ZAMAK 50 ML</t>
  </si>
  <si>
    <t>GEWICHT BOSS 13 3MM.</t>
  </si>
  <si>
    <t>B93 3 mm</t>
  </si>
  <si>
    <t>WEIGHT GUCCI 10 B83</t>
  </si>
  <si>
    <t xml:space="preserve">Aktueller Preis /  1 Stück    € </t>
  </si>
  <si>
    <t xml:space="preserve">Aktueller Preis /   100 Stück    € </t>
  </si>
  <si>
    <t xml:space="preserve">Preis-einheit  </t>
  </si>
  <si>
    <t>Preis-Diff./  100 Stück   €</t>
  </si>
  <si>
    <t xml:space="preserve">Diff+Ab-brand /kg        € </t>
  </si>
  <si>
    <t xml:space="preserve">Diff. durch MP per kg   € </t>
  </si>
  <si>
    <t>Grund    preis  100 Stück €</t>
  </si>
  <si>
    <t>aktueller MP  kg          €</t>
  </si>
  <si>
    <t>MPB   kg        €</t>
  </si>
  <si>
    <t xml:space="preserve">Abbrand    5 %                   </t>
  </si>
  <si>
    <t>Gewicht / g</t>
  </si>
  <si>
    <t xml:space="preserve">Artikel Bezeichnung </t>
  </si>
  <si>
    <t>Product</t>
  </si>
  <si>
    <t>Aktuelle Teilepreise  2024. Q4</t>
  </si>
  <si>
    <t>Euroloc 1 sperrhacken Zn S</t>
  </si>
  <si>
    <t xml:space="preserve">90ZA-AD001-00 </t>
  </si>
  <si>
    <t xml:space="preserve">90ZA-B003-06 </t>
  </si>
  <si>
    <t xml:space="preserve"> zárbetét - 5mm</t>
  </si>
  <si>
    <t>90ZA-B011-06</t>
  </si>
  <si>
    <t xml:space="preserve"> zárbetét - 7mm</t>
  </si>
  <si>
    <t xml:space="preserve">90ZA-ZK001-06 </t>
  </si>
  <si>
    <t xml:space="preserve"> kiskulcs 6mm 4szög</t>
  </si>
  <si>
    <t>91Za-F002-06</t>
  </si>
  <si>
    <t>91ZA-H006</t>
  </si>
  <si>
    <t>91ZA-NY003</t>
  </si>
  <si>
    <t>Fronhausen</t>
  </si>
  <si>
    <t>Marburger strasse 60.</t>
  </si>
  <si>
    <t>2025/27</t>
  </si>
  <si>
    <t xml:space="preserve">Budapest </t>
  </si>
  <si>
    <t>Zamak Gewicht</t>
  </si>
  <si>
    <t>kiskulcs - 3mm</t>
  </si>
  <si>
    <t>kulcs - 8mm</t>
  </si>
  <si>
    <t>rúdadapter</t>
  </si>
  <si>
    <t>zárbetét - 3mm</t>
  </si>
  <si>
    <t>zárbetét</t>
  </si>
  <si>
    <t>zárbetét - 9,5mm 3szög</t>
  </si>
  <si>
    <t>Zárbetét  2x4-es sliccel</t>
  </si>
  <si>
    <t>zárbetét sliccel</t>
  </si>
  <si>
    <t>zárbetét - 8mm</t>
  </si>
  <si>
    <t>zárház</t>
  </si>
  <si>
    <t>lakattal zárható zárház</t>
  </si>
  <si>
    <t>anya M22x1,5</t>
  </si>
  <si>
    <t>anya M22x1,5 (30.000 db)</t>
  </si>
  <si>
    <t>anya M16x1</t>
  </si>
  <si>
    <t>fogasnyelv</t>
  </si>
  <si>
    <t>kereszt kulcs</t>
  </si>
  <si>
    <t>nagykulcs - 3mm</t>
  </si>
  <si>
    <t>nagykulcs - 5mm</t>
  </si>
  <si>
    <t>Zsanérbelső</t>
  </si>
  <si>
    <t>Zsanérkülső</t>
  </si>
  <si>
    <t>zsanértest</t>
  </si>
  <si>
    <t>engusz letörés csiszolása</t>
  </si>
  <si>
    <t>menet készítés</t>
  </si>
  <si>
    <t>öntés, koptatás, mosás</t>
  </si>
  <si>
    <t>zsanérbelső</t>
  </si>
  <si>
    <t>öntés koptatás, mosás</t>
  </si>
  <si>
    <t>Zanér fél</t>
  </si>
  <si>
    <t>zsanérkülső</t>
  </si>
  <si>
    <t>betét</t>
  </si>
  <si>
    <t>zártest</t>
  </si>
  <si>
    <t>vésznyitó</t>
  </si>
  <si>
    <t>zárnyelv</t>
  </si>
  <si>
    <t>zárbetét - 6mm 4szög</t>
  </si>
  <si>
    <t>Minkels zárház</t>
  </si>
  <si>
    <t>zsanér</t>
  </si>
  <si>
    <t>rendelési szám</t>
  </si>
  <si>
    <t>Arktikál nr.</t>
  </si>
  <si>
    <t>1001948</t>
  </si>
  <si>
    <t>1011968</t>
  </si>
  <si>
    <t>1001955</t>
  </si>
  <si>
    <t>1001971</t>
  </si>
  <si>
    <t>1013800</t>
  </si>
  <si>
    <t>1015504</t>
  </si>
  <si>
    <t>8023754</t>
  </si>
  <si>
    <t>8024290</t>
  </si>
  <si>
    <t>8028899</t>
  </si>
  <si>
    <t>Euroloc 1</t>
  </si>
  <si>
    <t>Euroloc 2</t>
  </si>
  <si>
    <t>Euroloc 3</t>
  </si>
  <si>
    <t>Kamm-125-2</t>
  </si>
  <si>
    <t xml:space="preserve">Smartstop-2 </t>
  </si>
  <si>
    <t>Rasthebel-2</t>
  </si>
  <si>
    <t>Sperritzteil-2</t>
  </si>
  <si>
    <t>Verdrehsicherung</t>
  </si>
  <si>
    <t>W4L-S6</t>
  </si>
  <si>
    <t>W1R-S6</t>
  </si>
  <si>
    <t>W1L-S6</t>
  </si>
  <si>
    <t>C3R Flanch</t>
  </si>
  <si>
    <t>CVLROH</t>
  </si>
  <si>
    <t>Sperrhacken Zn M(E208)</t>
  </si>
  <si>
    <t>Sperrhacken Zn S</t>
  </si>
  <si>
    <t>Sperrhacken zn</t>
  </si>
  <si>
    <t>20025.03.25</t>
  </si>
  <si>
    <t>CMR</t>
  </si>
  <si>
    <t>2025/30</t>
  </si>
  <si>
    <t>Inter-Metal Recycling Kft.</t>
  </si>
  <si>
    <t xml:space="preserve"> Budafoki út 5-7.</t>
  </si>
  <si>
    <t>Inter-Metal Kft.</t>
  </si>
  <si>
    <t>12266355-2-44</t>
  </si>
  <si>
    <t>Forgács Aluminium</t>
  </si>
  <si>
    <t>Forgács Rozsdamentés</t>
  </si>
  <si>
    <t>Forgács Vas</t>
  </si>
  <si>
    <t>Forgács Vegyes</t>
  </si>
  <si>
    <t>VTSZ: 7602</t>
  </si>
  <si>
    <t>VTSZ: 7204</t>
  </si>
  <si>
    <t>Csöpedék - Horgany</t>
  </si>
  <si>
    <t>VTSZ: 7404</t>
  </si>
  <si>
    <t>Réz</t>
  </si>
  <si>
    <t>2025/32</t>
  </si>
  <si>
    <t>M251034</t>
  </si>
  <si>
    <t>M251035</t>
  </si>
  <si>
    <t>M251036</t>
  </si>
  <si>
    <t>M251037</t>
  </si>
  <si>
    <t>M251038</t>
  </si>
  <si>
    <t>2025/34</t>
  </si>
  <si>
    <t>M251039</t>
  </si>
  <si>
    <t>M251040</t>
  </si>
  <si>
    <t>Engusz súly</t>
  </si>
  <si>
    <t>M251041</t>
  </si>
  <si>
    <t>2025/37</t>
  </si>
  <si>
    <t>2025/38</t>
  </si>
  <si>
    <t>szerszám - sin5</t>
  </si>
  <si>
    <t>POS010</t>
  </si>
  <si>
    <t>M251042</t>
  </si>
  <si>
    <t>COALSA logo</t>
  </si>
  <si>
    <t>Vas lemez hulladék</t>
  </si>
  <si>
    <t>VTSZ:7204</t>
  </si>
  <si>
    <t>2025/39</t>
  </si>
  <si>
    <t>2025/41</t>
  </si>
  <si>
    <t>Rendelés</t>
  </si>
  <si>
    <t>Árajánlatszám</t>
  </si>
  <si>
    <t>Megrednelő Neve</t>
  </si>
  <si>
    <t>Elkészült</t>
  </si>
  <si>
    <t>Kiküldve</t>
  </si>
  <si>
    <t>Ideje</t>
  </si>
  <si>
    <t>Határidő</t>
  </si>
  <si>
    <t>Megrendelve</t>
  </si>
  <si>
    <t>M251043</t>
  </si>
  <si>
    <t>M251044</t>
  </si>
  <si>
    <t>M251045</t>
  </si>
  <si>
    <t>M251046</t>
  </si>
  <si>
    <t>M251047</t>
  </si>
  <si>
    <t>M251048</t>
  </si>
  <si>
    <t>M251049</t>
  </si>
  <si>
    <t>M251050</t>
  </si>
  <si>
    <t>M251051</t>
  </si>
  <si>
    <t>M251052</t>
  </si>
  <si>
    <t>M251053</t>
  </si>
  <si>
    <t>M251054</t>
  </si>
  <si>
    <t>M251055</t>
  </si>
  <si>
    <t>M251056</t>
  </si>
  <si>
    <t>M251057</t>
  </si>
  <si>
    <t>Új</t>
  </si>
  <si>
    <t>Termék</t>
  </si>
  <si>
    <t>Order date (y/m/)</t>
  </si>
  <si>
    <t>Required delivery date (y/m/d)</t>
  </si>
  <si>
    <t>Meglévő</t>
  </si>
  <si>
    <t>Sín 5</t>
  </si>
  <si>
    <t>22.07.08-05.01-10</t>
  </si>
  <si>
    <t>Vevő név2</t>
  </si>
  <si>
    <t>82178 Puchheim, Lindberghstrasse  8</t>
  </si>
  <si>
    <t>M251058</t>
  </si>
  <si>
    <t>P6 body szerszám</t>
  </si>
  <si>
    <t>M251059</t>
  </si>
  <si>
    <t>M251059 Pos-10</t>
  </si>
  <si>
    <t>Szerszám</t>
  </si>
  <si>
    <t>Forgács</t>
  </si>
  <si>
    <t>2025/44</t>
  </si>
  <si>
    <t>M251060</t>
  </si>
  <si>
    <t>M251060 Pos-10</t>
  </si>
  <si>
    <t>M251060 Pos-20</t>
  </si>
  <si>
    <t>M251060 Pos-30</t>
  </si>
  <si>
    <t>2025/45</t>
  </si>
  <si>
    <t>M251061</t>
  </si>
  <si>
    <t>M251061 Pos-10</t>
  </si>
  <si>
    <t>4db</t>
  </si>
  <si>
    <t>1db</t>
  </si>
  <si>
    <t>M251062</t>
  </si>
  <si>
    <t>M251062 Pos-10</t>
  </si>
  <si>
    <t>2025/47</t>
  </si>
  <si>
    <t>POSS010</t>
  </si>
  <si>
    <t>2025/50</t>
  </si>
  <si>
    <t>2025/51</t>
  </si>
  <si>
    <t>M251063</t>
  </si>
  <si>
    <t>M251063 Pos-20</t>
  </si>
  <si>
    <t>2025/54</t>
  </si>
  <si>
    <t>2025/55</t>
  </si>
  <si>
    <t>felületkezelés kell</t>
  </si>
  <si>
    <t>2025/56</t>
  </si>
  <si>
    <t>2025/59</t>
  </si>
  <si>
    <t>2025/60</t>
  </si>
  <si>
    <t>2025/61</t>
  </si>
  <si>
    <t xml:space="preserve"> </t>
  </si>
  <si>
    <t>M251064</t>
  </si>
  <si>
    <t>M251064 Pos-10</t>
  </si>
  <si>
    <t>M251064 Pos-20</t>
  </si>
  <si>
    <t>M251064 Pos-30</t>
  </si>
  <si>
    <t>M251064 Pos-40</t>
  </si>
  <si>
    <t>2025/62</t>
  </si>
  <si>
    <t>M251065</t>
  </si>
  <si>
    <t>M251065 Pos-10</t>
  </si>
  <si>
    <t>2025/63</t>
  </si>
  <si>
    <t>2025/64</t>
  </si>
  <si>
    <t>Ligeti</t>
  </si>
  <si>
    <t>nyersanyag</t>
  </si>
  <si>
    <t>zamak</t>
  </si>
  <si>
    <t>604 Kg</t>
  </si>
  <si>
    <t>M251066</t>
  </si>
  <si>
    <t>M251066 Pos-10</t>
  </si>
  <si>
    <t>2025/66</t>
  </si>
  <si>
    <t>Öntvény neve</t>
  </si>
  <si>
    <t>súly (g)</t>
  </si>
  <si>
    <t>súly (kg)</t>
  </si>
  <si>
    <t>db</t>
  </si>
  <si>
    <t>össz súly (kg)</t>
  </si>
  <si>
    <t>zamak beszerzési ár/kg</t>
  </si>
  <si>
    <t>total EUR</t>
  </si>
  <si>
    <t>total HUF (390)</t>
  </si>
  <si>
    <t>Induló darabszám</t>
  </si>
  <si>
    <t>Seidel</t>
  </si>
  <si>
    <t>90ZA-AD001-00 / rúdadapter</t>
  </si>
  <si>
    <t>90ZA-B001-06 / zárbetét - 3mm</t>
  </si>
  <si>
    <t>90ZA-B003-06 / zárbetét - 5mm</t>
  </si>
  <si>
    <t>90ZA-B004-06 / zárbetét</t>
  </si>
  <si>
    <t>90ZA-B007-04 / zárbetét - 9,5mm 3szög</t>
  </si>
  <si>
    <t>90ZA-B009-04 / Zárbetét  2x4-es sliccel</t>
  </si>
  <si>
    <t>90ZA-B010-04 / zárbetét sliccel</t>
  </si>
  <si>
    <t>90ZA-B012-06 / zárbetét - 8mm</t>
  </si>
  <si>
    <t>90ZA-H001-06 / zárház</t>
  </si>
  <si>
    <t>90ZA-H002-06 / zárház</t>
  </si>
  <si>
    <t>90ZA-H005-04 / zárház</t>
  </si>
  <si>
    <t>90ZA-H020-06 / lakattal zárható zárház</t>
  </si>
  <si>
    <t>90ZA-H021-06 / lakattal zárható zárház</t>
  </si>
  <si>
    <t>90ZA-HT001-00 / anya M22x1,5</t>
  </si>
  <si>
    <t>90ZA-HT001-00 / anya M22x1,5 (30.000 db)</t>
  </si>
  <si>
    <t>90ZA-HT002-00 / anya M16x1</t>
  </si>
  <si>
    <t>90ZA-NY001-00 / fogasnyelv</t>
  </si>
  <si>
    <t>90ZA-ZK001-06 / kiskulcs 6mm 4szög</t>
  </si>
  <si>
    <t>90ZA-ZK006-06 / kulcs - 8mm</t>
  </si>
  <si>
    <t>90ZA-ZK007-06 kulcs 10mm 3szög</t>
  </si>
  <si>
    <t>90ZA-ZK008-06 / kiskulcs - 3mm</t>
  </si>
  <si>
    <t>90ZA-ZK010-06  / kereszt kulcs</t>
  </si>
  <si>
    <t>90ZA-ZK011-06 / nagykulcs - 3mm</t>
  </si>
  <si>
    <t>90ZA-ZK012-06 / nagykulcs - 5mm</t>
  </si>
  <si>
    <t>90ZA-ZS001-06 / Zsanérbelső</t>
  </si>
  <si>
    <t>90ZA-ZS002-06 / Zsanérkülső</t>
  </si>
  <si>
    <t>90ZA-ZS004-00 zsanértest</t>
  </si>
  <si>
    <t>90ZA-ZS005-06 / zsanértest</t>
  </si>
  <si>
    <t>90ZA-ZS013-06 / zsanértest</t>
  </si>
  <si>
    <t>90ZA-ZS016-06 / zsanérbelső</t>
  </si>
  <si>
    <t>90ZA-ZS017-06 / zsanérkülső</t>
  </si>
  <si>
    <t>90ZA-ZS019-16 / zsanértest</t>
  </si>
  <si>
    <t>90ZA-ZS023-06 Zanér fél</t>
  </si>
  <si>
    <t>91ZA-HT001-00 / betét</t>
  </si>
  <si>
    <t>99ZA-B001-06 / zárbetét - 6mm 4szög</t>
  </si>
  <si>
    <t>99ZA-H001-06 / Minkels zárház</t>
  </si>
  <si>
    <t>99ZA-NY001-00 / fogasnyelv</t>
  </si>
  <si>
    <t>99ZA-ZS001-06 / zsanér</t>
  </si>
  <si>
    <t>90ZA-ZK008-06 / kiskulcs - COALSA</t>
  </si>
  <si>
    <t>90ZA-ZK011-06 / nagykulcs - COALSA</t>
  </si>
  <si>
    <t>90ZA-ZK011-06 / nagykulcs - Rosenberg</t>
  </si>
  <si>
    <t>90ZA-ZK010-06  / kereszt kulcs - EMKA</t>
  </si>
  <si>
    <t>90ZA-ZK005-06</t>
  </si>
  <si>
    <t>90ZA-ZS06-06</t>
  </si>
  <si>
    <t>90ZA-H019-06</t>
  </si>
  <si>
    <t>90ZA-B011</t>
  </si>
  <si>
    <t>90ZA-F002</t>
  </si>
  <si>
    <t>90ZA-ZK012- ROSENBERG</t>
  </si>
  <si>
    <t>90ZA-B026</t>
  </si>
  <si>
    <t>90ZA-ZK06-06 ELA</t>
  </si>
  <si>
    <t>90ZA-H006-06</t>
  </si>
  <si>
    <t>Systec</t>
  </si>
  <si>
    <t>Euroloc 1 sperrhacken zn + sorjázás</t>
  </si>
  <si>
    <t>Euroloc 1 sperrhacken Zn S + sorjázás</t>
  </si>
  <si>
    <t>Euroloc 2 sperrhacken Zn S + sorjázás</t>
  </si>
  <si>
    <t>Euroloc 3 sperrhacken Zn M(E208) + sorjázás</t>
  </si>
  <si>
    <t>Verdrehsicherung C3R Flanch + 1 menet</t>
  </si>
  <si>
    <t>Verdrehsicherung W6L</t>
  </si>
  <si>
    <t>Fasten</t>
  </si>
  <si>
    <t>P6</t>
  </si>
  <si>
    <t>Ykk fogó</t>
  </si>
  <si>
    <t>MAGMA</t>
  </si>
  <si>
    <t>MAG1</t>
  </si>
  <si>
    <t>MAG2</t>
  </si>
  <si>
    <t>MAG3</t>
  </si>
  <si>
    <t>CÍMER</t>
  </si>
  <si>
    <t>KATASZTRÓFA CÍMER</t>
  </si>
  <si>
    <t>ZÁRNYELV</t>
  </si>
  <si>
    <t>Nyersanyag</t>
  </si>
  <si>
    <t>2025/68</t>
  </si>
  <si>
    <t>25/00646</t>
  </si>
  <si>
    <t>VTSZ:7602</t>
  </si>
  <si>
    <t>M251067</t>
  </si>
  <si>
    <t>M251067 Pos-10</t>
  </si>
  <si>
    <t>M251067 Pos-20</t>
  </si>
  <si>
    <t>POS020</t>
  </si>
  <si>
    <t>POS030</t>
  </si>
  <si>
    <t>2025/70</t>
  </si>
  <si>
    <t>2025/72</t>
  </si>
  <si>
    <t>2025/73</t>
  </si>
  <si>
    <t>2025/74</t>
  </si>
  <si>
    <t>EMKE logó</t>
  </si>
  <si>
    <t>2025/75</t>
  </si>
  <si>
    <t>M251068</t>
  </si>
  <si>
    <t>M251068 Pos-10</t>
  </si>
  <si>
    <t>M251068 Pos-20</t>
  </si>
  <si>
    <t>M251068 Pos-30</t>
  </si>
  <si>
    <t>2025/76</t>
  </si>
  <si>
    <t>2025/78</t>
  </si>
  <si>
    <t>2026/01</t>
  </si>
  <si>
    <t>2026/81</t>
  </si>
  <si>
    <t>2026/82</t>
  </si>
  <si>
    <t>2026/</t>
  </si>
  <si>
    <t>MB44</t>
  </si>
  <si>
    <t>80 0230 018 001 01 02</t>
  </si>
  <si>
    <t>MB44 szerszám</t>
  </si>
  <si>
    <t>2026/83</t>
  </si>
  <si>
    <t>M251069</t>
  </si>
  <si>
    <t>M251069 Pos-10</t>
  </si>
  <si>
    <t>M251069 Pos-20</t>
  </si>
  <si>
    <t>M251069 Pos-30</t>
  </si>
  <si>
    <t>M251070</t>
  </si>
  <si>
    <t>M251070 Pos-10</t>
  </si>
  <si>
    <t>POS010, rendelés módosítás 2026.02.04én</t>
  </si>
  <si>
    <t>Státusz</t>
  </si>
  <si>
    <t>szünetel</t>
  </si>
  <si>
    <t>kiszállítva</t>
  </si>
  <si>
    <t>folyamatban</t>
  </si>
  <si>
    <t>~02.23. indul</t>
  </si>
  <si>
    <t>szállítható</t>
  </si>
  <si>
    <t>szerszám alapanyag megrendelve</t>
  </si>
  <si>
    <t>~02.11. indul</t>
  </si>
  <si>
    <t>~03.16. indul</t>
  </si>
  <si>
    <t>2026/5</t>
  </si>
  <si>
    <t>2026/6</t>
  </si>
  <si>
    <t>sz</t>
  </si>
  <si>
    <t>csomagolás alatt</t>
  </si>
  <si>
    <t>M251071</t>
  </si>
  <si>
    <t>M251071 Pos-10</t>
  </si>
  <si>
    <t>M251071 Pos-20</t>
  </si>
  <si>
    <t>M251071 Pos-30</t>
  </si>
  <si>
    <t>2026/7</t>
  </si>
  <si>
    <t>2026/9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</si>
</sst>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164" formatCode="_-* #,##0.00\ &quot;Ft&quot;_-;\-* #,##0.00\ &quot;Ft&quot;_-;_-* &quot;-&quot;??\ &quot;Ft&quot;_-;_-@_-"/>
    <numFmt numFmtId="165" formatCode="_-* #,##0.00\ _F_t_-;\-* #,##0.00\ _F_t_-;_-* &quot;-&quot;??\ _F_t_-;_-@_-"/>
    <numFmt numFmtId="166" formatCode="#,##0&quot; db&quot;"/>
    <numFmt numFmtId="167" formatCode="#,##0.00&quot; g&quot;"/>
    <numFmt numFmtId="168" formatCode="#,##0&quot; mp&quot;"/>
    <numFmt numFmtId="169" formatCode="0#\ &quot;kg&quot;"/>
    <numFmt numFmtId="170" formatCode="dd\.mm\.yyyy;@"/>
    <numFmt numFmtId="171" formatCode="#,##0\ &quot;Ft&quot;"/>
    <numFmt numFmtId="172" formatCode="[$€-2]\ #,##0;[Red]\-[$€-2]\ #,##0"/>
    <numFmt numFmtId="173" formatCode="[$€-2]\ #,##0.0000"/>
    <numFmt numFmtId="174" formatCode="_-* #,##0.00\ [$€-1]_-;\-* #,##0.00\ [$€-1]_-;_-* &quot;-&quot;??\ [$€-1]_-;_-@_-"/>
    <numFmt numFmtId="175" formatCode="0."/>
    <numFmt numFmtId="176" formatCode="##,#0#\ &quot;kg&quot;"/>
    <numFmt numFmtId="177" formatCode="#,##0&quot; óra&quot;"/>
    <numFmt numFmtId="178" formatCode="#,##0&quot; Paletta&quot;"/>
    <numFmt numFmtId="179" formatCode="#,##0&quot; Box&quot;"/>
    <numFmt numFmtId="180" formatCode="_-* #,##0.0000\ _D_M_-;\-* #,##0.0000\ _D_M_-;_-* &quot;-&quot;??\ _D_M_-;_-@_-"/>
    <numFmt numFmtId="181" formatCode="0.000"/>
    <numFmt numFmtId="182" formatCode="#,##0.0\ _D_M"/>
    <numFmt numFmtId="183" formatCode="#,##0.00\ _D_M"/>
    <numFmt numFmtId="184" formatCode="_-* #,##0.00\ &quot;DM&quot;_-;\-* #,##0.00\ &quot;DM&quot;_-;_-* &quot;-&quot;??\ &quot;DM&quot;_-;_-@_-"/>
    <numFmt numFmtId="185" formatCode="_-* #,##0.000\ _D_M_-;\-* #,##0.000\ _D_M_-;_-* &quot;-&quot;??\ _D_M_-;_-@_-"/>
    <numFmt numFmtId="186" formatCode="0.0#\ &quot;g&quot;"/>
    <numFmt numFmtId="187" formatCode="_-* #,##0.0\ _F_t_-;\-* #,##0.0\ _F_t_-;_-* &quot;-&quot;?\ _F_t_-;_-@_-"/>
    <numFmt numFmtId="188" formatCode="_-* #,##0\ _F_t_-;\-* #,##0\ _F_t_-;_-* &quot;-&quot;??\ _F_t_-;_-@_-"/>
  </numFmts>
  <fonts count="100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i/>
      <sz val="12"/>
      <color rgb="FF00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b/>
      <sz val="12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b/>
      <i/>
      <sz val="10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charset val="238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charset val="238"/>
    </font>
    <font>
      <b/>
      <sz val="12"/>
      <color rgb="FF000080"/>
      <name val="Arial"/>
      <family val="2"/>
      <charset val="238"/>
    </font>
    <font>
      <b/>
      <u/>
      <sz val="15"/>
      <color theme="1"/>
      <name val="Calibri"/>
      <family val="2"/>
      <charset val="238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5"/>
      <color theme="1"/>
      <name val="Calibri"/>
      <family val="2"/>
      <charset val="238"/>
    </font>
    <font>
      <b/>
      <sz val="26"/>
      <color theme="1"/>
      <name val="Calibri"/>
      <family val="2"/>
      <charset val="238"/>
    </font>
    <font>
      <b/>
      <sz val="12"/>
      <color rgb="FF002060"/>
      <name val="Calibri"/>
      <family val="2"/>
      <charset val="238"/>
      <scheme val="minor"/>
    </font>
    <font>
      <sz val="10"/>
      <color rgb="FF000000"/>
      <name val="Times New Roman"/>
      <family val="1"/>
      <charset val="238"/>
    </font>
    <font>
      <sz val="6"/>
      <name val="Arial"/>
      <family val="2"/>
    </font>
    <font>
      <sz val="6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</font>
    <font>
      <sz val="7"/>
      <name val="Arial"/>
      <family val="2"/>
    </font>
    <font>
      <vertAlign val="subscript"/>
      <sz val="8"/>
      <name val="Arial"/>
      <family val="2"/>
    </font>
    <font>
      <sz val="7"/>
      <name val="Arial"/>
      <family val="2"/>
      <charset val="238"/>
    </font>
    <font>
      <vertAlign val="superscript"/>
      <sz val="7"/>
      <name val="Arial"/>
      <family val="2"/>
    </font>
    <font>
      <b/>
      <sz val="10"/>
      <color rgb="FF000000"/>
      <name val="Times New Roman"/>
      <family val="1"/>
      <charset val="238"/>
    </font>
    <font>
      <sz val="10"/>
      <name val="Arial"/>
      <family val="2"/>
    </font>
    <font>
      <sz val="8"/>
      <name val="Arial"/>
      <family val="2"/>
      <charset val="238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sz val="11"/>
      <name val="Arial"/>
      <family val="2"/>
    </font>
    <font>
      <b/>
      <sz val="10"/>
      <name val="Arial"/>
      <family val="2"/>
      <charset val="238"/>
    </font>
    <font>
      <sz val="10"/>
      <color rgb="FF000000"/>
      <name val="Arial"/>
      <family val="2"/>
    </font>
    <font>
      <sz val="24"/>
      <color theme="1"/>
      <name val="Times New Roman"/>
      <family val="1"/>
      <charset val="238"/>
    </font>
    <font>
      <sz val="48"/>
      <color theme="1"/>
      <name val="Times New Roman"/>
      <family val="1"/>
      <charset val="238"/>
    </font>
    <font>
      <sz val="36"/>
      <color theme="1"/>
      <name val="Times New Roman"/>
      <family val="1"/>
      <charset val="238"/>
    </font>
    <font>
      <sz val="56"/>
      <color theme="1"/>
      <name val="Times New Roman"/>
      <family val="1"/>
      <charset val="238"/>
    </font>
    <font>
      <sz val="70"/>
      <color theme="1"/>
      <name val="Times New Roman"/>
      <family val="1"/>
      <charset val="238"/>
    </font>
    <font>
      <sz val="11"/>
      <color rgb="FF000000"/>
      <name val="Calibri"/>
      <family val="2"/>
      <charset val="238"/>
    </font>
    <font>
      <b/>
      <i/>
      <sz val="14"/>
      <color rgb="FF000000"/>
      <name val="Calibri"/>
      <family val="2"/>
      <charset val="238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  <charset val="238"/>
    </font>
    <font>
      <sz val="16"/>
      <color theme="1"/>
      <name val="Calibri"/>
      <family val="2"/>
      <charset val="238"/>
      <scheme val="minor"/>
    </font>
    <font>
      <vertAlign val="superscript"/>
      <sz val="10"/>
      <name val="Arial"/>
      <family val="2"/>
      <charset val="238"/>
    </font>
    <font>
      <b/>
      <sz val="13"/>
      <color rgb="FF000000"/>
      <name val="Times New Roman"/>
      <family val="1"/>
      <charset val="238"/>
    </font>
    <font>
      <b/>
      <sz val="7"/>
      <name val="Arial"/>
      <family val="2"/>
    </font>
    <font>
      <b/>
      <sz val="10"/>
      <color rgb="FF000000"/>
      <name val="Arial"/>
      <family val="2"/>
      <charset val="238"/>
    </font>
    <font>
      <b/>
      <sz val="8"/>
      <name val="Arial"/>
      <family val="2"/>
      <charset val="238"/>
    </font>
    <font>
      <sz val="9"/>
      <color rgb="FF000000"/>
      <name val="Helvetica"/>
      <family val="2"/>
    </font>
    <font>
      <sz val="10"/>
      <name val="Arial"/>
      <family val="2"/>
      <charset val="238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 (Body)"/>
    </font>
    <font>
      <sz val="12"/>
      <name val="Calibri (Body)"/>
    </font>
    <font>
      <sz val="10"/>
      <name val="Humnst777 BT"/>
    </font>
    <font>
      <sz val="12"/>
      <color indexed="10"/>
      <name val="Calibri (Body)"/>
    </font>
    <font>
      <sz val="10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sz val="18"/>
      <color theme="1"/>
      <name val="Times New Roman"/>
      <family val="1"/>
      <charset val="238"/>
    </font>
    <font>
      <sz val="14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9"/>
      <name val="Calibri"/>
      <family val="2"/>
      <charset val="238"/>
    </font>
    <font>
      <b/>
      <sz val="8"/>
      <name val="Calibri"/>
      <family val="2"/>
      <charset val="238"/>
    </font>
    <font>
      <b/>
      <sz val="12"/>
      <color rgb="FFFF0000"/>
      <name val="Calibri"/>
      <family val="2"/>
      <charset val="238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rgb="FF00B050"/>
      <name val="Calibri"/>
      <family val="2"/>
      <charset val="238"/>
      <scheme val="minor"/>
    </font>
    <font>
      <b/>
      <sz val="12"/>
      <color rgb="FF0070C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  <charset val="238"/>
      <scheme val="minor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BF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8">
    <border>
      <start/>
      <end/>
      <top/>
      <bottom/>
      <diagonal/>
    </border>
    <border>
      <start/>
      <end/>
      <top/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/>
      <diagonal/>
    </border>
    <border>
      <start style="thin">
        <color auto="1"/>
      </start>
      <end/>
      <top style="thin">
        <color auto="1"/>
      </top>
      <bottom/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auto="1"/>
      </start>
      <end style="thin">
        <color auto="1"/>
      </end>
      <top/>
      <bottom/>
      <diagonal/>
    </border>
    <border>
      <start/>
      <end/>
      <top style="thin">
        <color auto="1"/>
      </top>
      <bottom style="thin">
        <color auto="1"/>
      </bottom>
      <diagonal/>
    </border>
    <border>
      <start style="thin">
        <color theme="9"/>
      </start>
      <end style="thin">
        <color theme="9"/>
      </end>
      <top style="thin">
        <color theme="9"/>
      </top>
      <bottom style="medium">
        <color theme="9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  <border>
      <start style="thin">
        <color auto="1"/>
      </start>
      <end/>
      <top/>
      <bottom style="thin">
        <color auto="1"/>
      </bottom>
      <diagonal/>
    </border>
    <border>
      <start/>
      <end/>
      <top style="thin">
        <color auto="1"/>
      </top>
      <bottom/>
      <diagonal/>
    </border>
    <border>
      <start/>
      <end style="thin">
        <color auto="1"/>
      </end>
      <top style="thin">
        <color auto="1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auto="1"/>
      </end>
      <top/>
      <bottom/>
      <diagonal/>
    </border>
    <border>
      <start/>
      <end/>
      <top style="medium">
        <color theme="0" tint="-0.34998626667073579"/>
      </top>
      <bottom/>
      <diagonal/>
    </border>
    <border>
      <start/>
      <end/>
      <top/>
      <bottom style="medium">
        <color theme="0" tint="-0.34998626667073579"/>
      </bottom>
      <diagonal/>
    </border>
    <border>
      <start style="medium">
        <color theme="0" tint="-0.34998626667073579"/>
      </start>
      <end/>
      <top/>
      <bottom style="medium">
        <color theme="0" tint="-0.34998626667073579"/>
      </bottom>
      <diagonal/>
    </border>
    <border>
      <start style="medium">
        <color theme="0" tint="-0.34998626667073579"/>
      </start>
      <end/>
      <top/>
      <bottom/>
      <diagonal/>
    </border>
    <border>
      <start style="medium">
        <color theme="0" tint="-0.34998626667073579"/>
      </start>
      <end/>
      <top style="medium">
        <color theme="0" tint="-0.34998626667073579"/>
      </top>
      <bottom/>
      <diagonal/>
    </border>
    <border>
      <start/>
      <end style="thin">
        <color indexed="64"/>
      </end>
      <top/>
      <bottom style="dotted">
        <color indexed="64"/>
      </bottom>
      <diagonal/>
    </border>
    <border>
      <start/>
      <end/>
      <top/>
      <bottom style="dotted">
        <color indexed="64"/>
      </bottom>
      <diagonal/>
    </border>
    <border>
      <start style="thin">
        <color indexed="64"/>
      </start>
      <end/>
      <top/>
      <bottom style="dotted">
        <color indexed="64"/>
      </bottom>
      <diagonal/>
    </border>
    <border>
      <start/>
      <end style="thin">
        <color indexed="64"/>
      </end>
      <top style="thin">
        <color rgb="FF000000"/>
      </top>
      <bottom/>
      <diagonal/>
    </border>
    <border>
      <start/>
      <end/>
      <top style="thin">
        <color rgb="FF000000"/>
      </top>
      <bottom/>
      <diagonal/>
    </border>
    <border>
      <start/>
      <end style="thin">
        <color indexed="64"/>
      </end>
      <top/>
      <bottom style="thin">
        <color rgb="FF000000"/>
      </bottom>
      <diagonal/>
    </border>
    <border>
      <start/>
      <end/>
      <top/>
      <bottom style="thin">
        <color rgb="FF000000"/>
      </bottom>
      <diagonal/>
    </border>
    <border>
      <start style="thin">
        <color rgb="FF000000"/>
      </start>
      <end/>
      <top/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/>
      <diagonal/>
    </border>
    <border>
      <start/>
      <end style="thin">
        <color rgb="FF000000"/>
      </end>
      <top style="thin">
        <color rgb="FF000000"/>
      </top>
      <bottom/>
      <diagonal/>
    </border>
    <border>
      <start style="thin">
        <color indexed="64"/>
      </start>
      <end/>
      <top style="thin">
        <color rgb="FF000000"/>
      </top>
      <bottom/>
      <diagonal/>
    </border>
    <border>
      <start style="thin">
        <color indexed="64"/>
      </start>
      <end/>
      <top style="thin">
        <color rgb="FF000000"/>
      </top>
      <bottom style="thin">
        <color rgb="FF000000"/>
      </bottom>
      <diagonal/>
    </border>
    <border>
      <start/>
      <end style="thin">
        <color indexed="64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indexed="64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/>
      <bottom style="thin">
        <color rgb="FF000000"/>
      </bottom>
      <diagonal/>
    </border>
    <border>
      <start style="thin">
        <color indexed="64"/>
      </start>
      <end/>
      <top/>
      <bottom style="thin">
        <color rgb="FF000000"/>
      </bottom>
      <diagonal/>
    </border>
    <border>
      <start style="thin">
        <color rgb="FF000000"/>
      </start>
      <end style="thin">
        <color indexed="64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/>
      <end style="thin">
        <color rgb="FF000000"/>
      </end>
      <top/>
      <bottom/>
      <diagonal/>
    </border>
    <border>
      <start style="thin">
        <color rgb="FF000000"/>
      </start>
      <end style="thin">
        <color indexed="64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/>
      <top/>
      <bottom/>
      <diagonal/>
    </border>
    <border>
      <start style="thin">
        <color rgb="FF000000"/>
      </start>
      <end/>
      <top style="thin">
        <color indexed="64"/>
      </top>
      <bottom/>
      <diagonal/>
    </border>
    <border>
      <start/>
      <end style="thin">
        <color rgb="FF000000"/>
      </end>
      <top style="thin">
        <color indexed="64"/>
      </top>
      <bottom/>
      <diagonal/>
    </border>
    <border>
      <start/>
      <end/>
      <top style="thin">
        <color theme="7"/>
      </top>
      <bottom/>
      <diagonal/>
    </border>
    <border>
      <start style="thin">
        <color rgb="FF000000"/>
      </start>
      <end style="thin">
        <color indexed="64"/>
      </end>
      <top/>
      <bottom/>
      <diagonal/>
    </border>
    <border>
      <start style="thin">
        <color rgb="FF000000"/>
      </start>
      <end/>
      <top style="thin">
        <color indexed="64"/>
      </top>
      <bottom style="thin">
        <color indexed="64"/>
      </bottom>
      <diagonal/>
    </border>
    <border>
      <start/>
      <end style="thin">
        <color rgb="FF000000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theme="7"/>
      </start>
      <end/>
      <top style="thin">
        <color theme="7"/>
      </top>
      <bottom/>
      <diagonal/>
    </border>
    <border>
      <start style="medium">
        <color auto="1"/>
      </start>
      <end style="medium">
        <color auto="1"/>
      </end>
      <top style="thin">
        <color auto="1"/>
      </top>
      <bottom style="thin">
        <color auto="1"/>
      </bottom>
      <diagonal/>
    </border>
    <border>
      <start style="thin">
        <color theme="9"/>
      </start>
      <end style="thin">
        <color theme="9"/>
      </end>
      <top style="thin">
        <color theme="9"/>
      </top>
      <bottom style="thin">
        <color theme="9"/>
      </bottom>
      <diagonal/>
    </border>
  </borders>
  <cellStyleXfs count="12">
    <xf numFmtId="0" fontId="0" fillId="0" borderId="0"/>
    <xf numFmtId="0" fontId="4" fillId="0" borderId="0"/>
    <xf numFmtId="9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2" fillId="0" borderId="0"/>
    <xf numFmtId="0" fontId="54" fillId="0" borderId="0"/>
    <xf numFmtId="0" fontId="54" fillId="0" borderId="0"/>
    <xf numFmtId="164" fontId="7" fillId="0" borderId="0" applyFont="0" applyFill="0" applyBorder="0" applyAlignment="0" applyProtection="0"/>
    <xf numFmtId="0" fontId="65" fillId="0" borderId="0"/>
    <xf numFmtId="0" fontId="65" fillId="0" borderId="0"/>
    <xf numFmtId="164" fontId="65" fillId="0" borderId="0" applyFont="0" applyFill="0" applyBorder="0" applyAlignment="0" applyProtection="0"/>
    <xf numFmtId="184" fontId="73" fillId="0" borderId="0" applyFont="0" applyFill="0" applyBorder="0" applyAlignment="0" applyProtection="0"/>
  </cellStyleXfs>
  <cellXfs count="559">
    <xf numFmtId="0" fontId="0" fillId="0" borderId="0" xfId="0"/>
    <xf numFmtId="0" fontId="5" fillId="2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5" xfId="0" applyBorder="1"/>
    <xf numFmtId="167" fontId="8" fillId="7" borderId="7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7" fontId="8" fillId="7" borderId="4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6" fillId="0" borderId="0" xfId="0" applyFont="1"/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1" fillId="2" borderId="2" xfId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170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/>
    </xf>
    <xf numFmtId="0" fontId="17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71" fontId="0" fillId="0" borderId="0" xfId="0" applyNumberFormat="1"/>
    <xf numFmtId="0" fontId="18" fillId="0" borderId="0" xfId="0" applyFont="1" applyAlignment="1">
      <alignment horizontal="center" vertical="center" wrapText="1"/>
    </xf>
    <xf numFmtId="172" fontId="1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8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vertical="center"/>
    </xf>
    <xf numFmtId="0" fontId="18" fillId="0" borderId="17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18" fillId="8" borderId="9" xfId="0" applyFont="1" applyFill="1" applyBorder="1" applyAlignment="1">
      <alignment horizontal="center" vertical="center" wrapText="1"/>
    </xf>
    <xf numFmtId="173" fontId="22" fillId="8" borderId="7" xfId="0" applyNumberFormat="1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left" vertical="center" wrapText="1"/>
    </xf>
    <xf numFmtId="14" fontId="15" fillId="0" borderId="0" xfId="0" applyNumberFormat="1" applyFont="1" applyAlignment="1">
      <alignment horizontal="left" vertical="center"/>
    </xf>
    <xf numFmtId="173" fontId="23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4" fillId="0" borderId="0" xfId="0" applyFont="1"/>
    <xf numFmtId="0" fontId="22" fillId="8" borderId="9" xfId="0" applyFont="1" applyFill="1" applyBorder="1" applyAlignment="1">
      <alignment vertical="center" wrapText="1"/>
    </xf>
    <xf numFmtId="0" fontId="22" fillId="8" borderId="7" xfId="0" applyFont="1" applyFill="1" applyBorder="1" applyAlignment="1">
      <alignment vertical="center" wrapText="1"/>
    </xf>
    <xf numFmtId="0" fontId="22" fillId="8" borderId="7" xfId="0" applyFont="1" applyFill="1" applyBorder="1" applyAlignment="1">
      <alignment wrapText="1"/>
    </xf>
    <xf numFmtId="0" fontId="22" fillId="8" borderId="7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21" fillId="0" borderId="18" xfId="0" applyFont="1" applyBorder="1"/>
    <xf numFmtId="0" fontId="20" fillId="0" borderId="18" xfId="0" applyFont="1" applyBorder="1"/>
    <xf numFmtId="0" fontId="20" fillId="0" borderId="19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174" fontId="20" fillId="0" borderId="18" xfId="0" applyNumberFormat="1" applyFont="1" applyBorder="1" applyAlignment="1">
      <alignment vertical="center"/>
    </xf>
    <xf numFmtId="0" fontId="21" fillId="0" borderId="0" xfId="0" applyFont="1"/>
    <xf numFmtId="0" fontId="20" fillId="0" borderId="0" xfId="0" applyFont="1" applyAlignment="1">
      <alignment vertical="center"/>
    </xf>
    <xf numFmtId="0" fontId="20" fillId="0" borderId="0" xfId="0" applyFont="1"/>
    <xf numFmtId="0" fontId="20" fillId="0" borderId="20" xfId="0" applyFont="1" applyBorder="1"/>
    <xf numFmtId="0" fontId="22" fillId="0" borderId="0" xfId="0" applyFont="1" applyAlignment="1">
      <alignment vertical="center"/>
    </xf>
    <xf numFmtId="3" fontId="7" fillId="0" borderId="0" xfId="0" applyNumberFormat="1" applyFont="1"/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4" fillId="0" borderId="20" xfId="0" applyFont="1" applyBorder="1"/>
    <xf numFmtId="0" fontId="4" fillId="0" borderId="0" xfId="0" applyFont="1" applyAlignment="1">
      <alignment vertical="center"/>
    </xf>
    <xf numFmtId="0" fontId="15" fillId="0" borderId="17" xfId="0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28" fillId="0" borderId="21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28" fillId="5" borderId="0" xfId="0" applyFont="1" applyFill="1" applyAlignment="1">
      <alignment horizontal="right" vertical="center"/>
    </xf>
    <xf numFmtId="0" fontId="28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7" fillId="0" borderId="17" xfId="0" applyFont="1" applyBorder="1"/>
    <xf numFmtId="0" fontId="31" fillId="0" borderId="0" xfId="0" applyFont="1"/>
    <xf numFmtId="0" fontId="31" fillId="0" borderId="0" xfId="0" applyFont="1" applyAlignment="1">
      <alignment wrapText="1"/>
    </xf>
    <xf numFmtId="0" fontId="20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  <xf numFmtId="0" fontId="22" fillId="8" borderId="9" xfId="0" applyFont="1" applyFill="1" applyBorder="1" applyAlignment="1">
      <alignment horizontal="left" vertical="center" wrapText="1"/>
    </xf>
    <xf numFmtId="0" fontId="22" fillId="8" borderId="7" xfId="0" applyFont="1" applyFill="1" applyBorder="1" applyAlignment="1">
      <alignment horizontal="left" wrapText="1"/>
    </xf>
    <xf numFmtId="0" fontId="32" fillId="0" borderId="0" xfId="4" applyAlignment="1">
      <alignment horizontal="left" vertical="top"/>
    </xf>
    <xf numFmtId="0" fontId="32" fillId="0" borderId="10" xfId="4" applyBorder="1" applyAlignment="1">
      <alignment horizontal="left" vertical="top"/>
    </xf>
    <xf numFmtId="0" fontId="32" fillId="0" borderId="1" xfId="4" applyBorder="1" applyAlignment="1">
      <alignment horizontal="left" vertical="top"/>
    </xf>
    <xf numFmtId="0" fontId="32" fillId="0" borderId="16" xfId="4" applyBorder="1" applyAlignment="1">
      <alignment horizontal="left" vertical="top"/>
    </xf>
    <xf numFmtId="0" fontId="34" fillId="0" borderId="0" xfId="4" applyFont="1" applyAlignment="1">
      <alignment wrapText="1"/>
    </xf>
    <xf numFmtId="0" fontId="32" fillId="0" borderId="0" xfId="4" applyAlignment="1">
      <alignment horizontal="left" vertical="top" wrapText="1"/>
    </xf>
    <xf numFmtId="0" fontId="32" fillId="0" borderId="0" xfId="4" applyAlignment="1">
      <alignment horizontal="left" vertical="center" wrapText="1"/>
    </xf>
    <xf numFmtId="0" fontId="32" fillId="0" borderId="16" xfId="4" applyBorder="1" applyAlignment="1">
      <alignment horizontal="left" vertical="center" wrapText="1"/>
    </xf>
    <xf numFmtId="0" fontId="32" fillId="0" borderId="38" xfId="4" applyBorder="1" applyAlignment="1">
      <alignment horizontal="left" vertical="center" wrapText="1"/>
    </xf>
    <xf numFmtId="0" fontId="32" fillId="0" borderId="40" xfId="4" applyBorder="1" applyAlignment="1">
      <alignment horizontal="left" vertical="center" wrapText="1"/>
    </xf>
    <xf numFmtId="0" fontId="32" fillId="0" borderId="28" xfId="4" applyBorder="1" applyAlignment="1">
      <alignment horizontal="left" vertical="center" wrapText="1"/>
    </xf>
    <xf numFmtId="0" fontId="32" fillId="0" borderId="44" xfId="4" applyBorder="1" applyAlignment="1">
      <alignment horizontal="left" vertical="center" wrapText="1"/>
    </xf>
    <xf numFmtId="0" fontId="41" fillId="0" borderId="28" xfId="4" applyFont="1" applyBorder="1" applyAlignment="1">
      <alignment horizontal="left" vertical="center" wrapText="1"/>
    </xf>
    <xf numFmtId="0" fontId="36" fillId="0" borderId="41" xfId="4" applyFont="1" applyBorder="1" applyAlignment="1">
      <alignment horizontal="left" vertical="center" wrapText="1"/>
    </xf>
    <xf numFmtId="0" fontId="41" fillId="0" borderId="0" xfId="4" applyFont="1" applyAlignment="1">
      <alignment horizontal="left" vertical="center" wrapText="1"/>
    </xf>
    <xf numFmtId="0" fontId="36" fillId="0" borderId="15" xfId="4" applyFont="1" applyBorder="1" applyAlignment="1">
      <alignment horizontal="left" vertical="center" wrapText="1"/>
    </xf>
    <xf numFmtId="0" fontId="32" fillId="0" borderId="0" xfId="4" applyAlignment="1">
      <alignment horizontal="left" vertical="center"/>
    </xf>
    <xf numFmtId="175" fontId="48" fillId="0" borderId="0" xfId="4" applyNumberFormat="1" applyFont="1" applyAlignment="1">
      <alignment vertical="top" shrinkToFit="1"/>
    </xf>
    <xf numFmtId="175" fontId="48" fillId="0" borderId="0" xfId="4" applyNumberFormat="1" applyFont="1" applyAlignment="1">
      <alignment vertical="center" shrinkToFit="1"/>
    </xf>
    <xf numFmtId="0" fontId="4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169" fontId="49" fillId="0" borderId="0" xfId="0" applyNumberFormat="1" applyFont="1" applyAlignment="1">
      <alignment horizontal="center" vertical="center"/>
    </xf>
    <xf numFmtId="0" fontId="50" fillId="0" borderId="0" xfId="0" applyFont="1" applyAlignment="1">
      <alignment vertical="center"/>
    </xf>
    <xf numFmtId="0" fontId="5" fillId="2" borderId="6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11" fillId="2" borderId="6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 applyAlignment="1">
      <alignment horizontal="center"/>
    </xf>
    <xf numFmtId="167" fontId="8" fillId="7" borderId="13" xfId="0" applyNumberFormat="1" applyFont="1" applyFill="1" applyBorder="1" applyAlignment="1">
      <alignment horizontal="center" vertical="center"/>
    </xf>
    <xf numFmtId="167" fontId="8" fillId="7" borderId="2" xfId="0" applyNumberFormat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 wrapText="1"/>
    </xf>
    <xf numFmtId="0" fontId="5" fillId="6" borderId="16" xfId="1" applyFont="1" applyFill="1" applyBorder="1" applyAlignment="1">
      <alignment horizontal="center" vertical="center" wrapText="1"/>
    </xf>
    <xf numFmtId="176" fontId="0" fillId="0" borderId="0" xfId="3" applyNumberFormat="1" applyFont="1" applyBorder="1" applyAlignment="1"/>
    <xf numFmtId="0" fontId="5" fillId="3" borderId="0" xfId="1" applyFont="1" applyFill="1" applyAlignment="1">
      <alignment horizontal="center" vertical="center" wrapText="1"/>
    </xf>
    <xf numFmtId="176" fontId="0" fillId="0" borderId="0" xfId="0" applyNumberFormat="1"/>
    <xf numFmtId="176" fontId="0" fillId="0" borderId="0" xfId="3" applyNumberFormat="1" applyFont="1" applyFill="1" applyBorder="1" applyAlignment="1"/>
    <xf numFmtId="166" fontId="2" fillId="0" borderId="1" xfId="0" applyNumberFormat="1" applyFont="1" applyBorder="1"/>
    <xf numFmtId="166" fontId="0" fillId="0" borderId="0" xfId="0" applyNumberFormat="1" applyAlignment="1">
      <alignment horizontal="center"/>
    </xf>
    <xf numFmtId="166" fontId="2" fillId="0" borderId="1" xfId="0" applyNumberFormat="1" applyFont="1" applyBorder="1" applyAlignment="1">
      <alignment horizontal="right" vertical="center"/>
    </xf>
    <xf numFmtId="166" fontId="5" fillId="2" borderId="6" xfId="1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horizontal="right" vertical="center"/>
    </xf>
    <xf numFmtId="166" fontId="0" fillId="0" borderId="50" xfId="0" applyNumberFormat="1" applyBorder="1" applyAlignment="1">
      <alignment horizontal="right" vertical="center"/>
    </xf>
    <xf numFmtId="166" fontId="5" fillId="2" borderId="15" xfId="1" applyNumberFormat="1" applyFont="1" applyFill="1" applyBorder="1" applyAlignment="1">
      <alignment horizontal="center" vertical="center" wrapText="1"/>
    </xf>
    <xf numFmtId="177" fontId="0" fillId="0" borderId="0" xfId="0" applyNumberFormat="1"/>
    <xf numFmtId="0" fontId="13" fillId="0" borderId="1" xfId="0" applyFont="1" applyBorder="1" applyAlignment="1">
      <alignment horizontal="center" vertical="center"/>
    </xf>
    <xf numFmtId="0" fontId="3" fillId="0" borderId="1" xfId="0" applyFont="1" applyBorder="1"/>
    <xf numFmtId="176" fontId="0" fillId="0" borderId="1" xfId="0" applyNumberFormat="1" applyBorder="1"/>
    <xf numFmtId="0" fontId="26" fillId="0" borderId="20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56" fillId="5" borderId="0" xfId="0" applyFont="1" applyFill="1" applyAlignment="1">
      <alignment horizontal="right" vertical="center"/>
    </xf>
    <xf numFmtId="0" fontId="56" fillId="5" borderId="0" xfId="0" applyFont="1" applyFill="1" applyAlignment="1">
      <alignment horizontal="left" vertical="center"/>
    </xf>
    <xf numFmtId="0" fontId="21" fillId="0" borderId="0" xfId="0" applyFont="1" applyAlignment="1">
      <alignment vertical="center" wrapText="1"/>
    </xf>
    <xf numFmtId="14" fontId="57" fillId="0" borderId="0" xfId="0" applyNumberFormat="1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0" fontId="36" fillId="0" borderId="34" xfId="4" applyFont="1" applyBorder="1" applyAlignment="1">
      <alignment vertical="top" wrapText="1"/>
    </xf>
    <xf numFmtId="0" fontId="41" fillId="0" borderId="26" xfId="4" applyFont="1" applyBorder="1" applyAlignment="1">
      <alignment horizontal="center" vertical="center" wrapText="1"/>
    </xf>
    <xf numFmtId="0" fontId="32" fillId="0" borderId="26" xfId="4" applyBorder="1" applyAlignment="1">
      <alignment vertical="top" wrapText="1"/>
    </xf>
    <xf numFmtId="0" fontId="32" fillId="0" borderId="33" xfId="4" applyBorder="1" applyAlignment="1">
      <alignment horizontal="center" vertical="center" wrapText="1"/>
    </xf>
    <xf numFmtId="0" fontId="33" fillId="0" borderId="11" xfId="0" applyFont="1" applyBorder="1" applyAlignment="1">
      <alignment vertical="top" wrapText="1"/>
    </xf>
    <xf numFmtId="0" fontId="37" fillId="0" borderId="36" xfId="0" applyFont="1" applyBorder="1" applyAlignment="1">
      <alignment horizontal="left" vertical="top" wrapText="1" indent="2"/>
    </xf>
    <xf numFmtId="0" fontId="37" fillId="0" borderId="39" xfId="0" applyFont="1" applyBorder="1" applyAlignment="1">
      <alignment horizontal="left" vertical="top" wrapText="1"/>
    </xf>
    <xf numFmtId="0" fontId="37" fillId="0" borderId="46" xfId="0" applyFont="1" applyBorder="1" applyAlignment="1">
      <alignment horizontal="left" vertical="top" wrapText="1"/>
    </xf>
    <xf numFmtId="0" fontId="37" fillId="0" borderId="43" xfId="0" applyFont="1" applyBorder="1" applyAlignment="1">
      <alignment horizontal="left" vertical="top" wrapText="1"/>
    </xf>
    <xf numFmtId="0" fontId="34" fillId="0" borderId="13" xfId="4" applyFont="1" applyBorder="1" applyAlignment="1">
      <alignment vertical="top" wrapText="1"/>
    </xf>
    <xf numFmtId="0" fontId="34" fillId="0" borderId="14" xfId="4" applyFont="1" applyBorder="1" applyAlignment="1">
      <alignment vertical="top" wrapText="1"/>
    </xf>
    <xf numFmtId="0" fontId="32" fillId="0" borderId="49" xfId="4" applyBorder="1" applyAlignment="1">
      <alignment vertical="top" wrapText="1"/>
    </xf>
    <xf numFmtId="0" fontId="32" fillId="0" borderId="44" xfId="4" applyBorder="1" applyAlignment="1">
      <alignment vertical="top" wrapText="1"/>
    </xf>
    <xf numFmtId="0" fontId="32" fillId="0" borderId="40" xfId="4" applyBorder="1" applyAlignment="1">
      <alignment vertical="top" wrapText="1"/>
    </xf>
    <xf numFmtId="0" fontId="42" fillId="0" borderId="29" xfId="0" applyFont="1" applyBorder="1" applyAlignment="1">
      <alignment horizontal="left" vertical="top" wrapText="1"/>
    </xf>
    <xf numFmtId="178" fontId="60" fillId="0" borderId="1" xfId="4" applyNumberFormat="1" applyFont="1" applyBorder="1" applyAlignment="1">
      <alignment vertical="center" wrapText="1"/>
    </xf>
    <xf numFmtId="178" fontId="60" fillId="0" borderId="1" xfId="4" applyNumberFormat="1" applyFont="1" applyBorder="1" applyAlignment="1">
      <alignment horizontal="center" vertical="center" wrapText="1"/>
    </xf>
    <xf numFmtId="178" fontId="60" fillId="0" borderId="10" xfId="4" applyNumberFormat="1" applyFont="1" applyBorder="1" applyAlignment="1">
      <alignment vertical="center" wrapText="1"/>
    </xf>
    <xf numFmtId="0" fontId="37" fillId="0" borderId="11" xfId="0" applyFont="1" applyBorder="1" applyAlignment="1">
      <alignment horizontal="left" vertical="top" wrapText="1"/>
    </xf>
    <xf numFmtId="0" fontId="37" fillId="0" borderId="7" xfId="0" applyFont="1" applyBorder="1" applyAlignment="1">
      <alignment vertical="top" wrapText="1"/>
    </xf>
    <xf numFmtId="0" fontId="37" fillId="0" borderId="54" xfId="0" applyFont="1" applyBorder="1" applyAlignment="1">
      <alignment horizontal="left" vertical="top" wrapText="1"/>
    </xf>
    <xf numFmtId="173" fontId="2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6" fillId="0" borderId="34" xfId="0" applyFont="1" applyBorder="1" applyAlignment="1">
      <alignment vertical="top" wrapText="1"/>
    </xf>
    <xf numFmtId="0" fontId="36" fillId="0" borderId="26" xfId="0" applyFont="1" applyBorder="1" applyAlignment="1">
      <alignment vertical="top" wrapText="1"/>
    </xf>
    <xf numFmtId="0" fontId="36" fillId="0" borderId="33" xfId="0" applyFont="1" applyBorder="1" applyAlignment="1">
      <alignment vertical="top" wrapText="1"/>
    </xf>
    <xf numFmtId="0" fontId="47" fillId="0" borderId="15" xfId="0" applyFont="1" applyBorder="1" applyAlignment="1">
      <alignment horizontal="left" vertical="center" wrapText="1"/>
    </xf>
    <xf numFmtId="0" fontId="47" fillId="0" borderId="16" xfId="0" applyFont="1" applyBorder="1" applyAlignment="1">
      <alignment vertical="center" wrapText="1"/>
    </xf>
    <xf numFmtId="0" fontId="42" fillId="0" borderId="51" xfId="0" applyFont="1" applyBorder="1" applyAlignment="1">
      <alignment horizontal="left" vertical="center" wrapText="1"/>
    </xf>
    <xf numFmtId="0" fontId="32" fillId="0" borderId="42" xfId="4" applyBorder="1" applyAlignment="1">
      <alignment horizontal="left" vertical="center" wrapText="1"/>
    </xf>
    <xf numFmtId="0" fontId="47" fillId="0" borderId="3" xfId="0" applyFont="1" applyBorder="1" applyAlignment="1">
      <alignment horizontal="left" vertical="center" wrapText="1"/>
    </xf>
    <xf numFmtId="178" fontId="60" fillId="0" borderId="13" xfId="4" applyNumberFormat="1" applyFont="1" applyBorder="1" applyAlignment="1">
      <alignment horizontal="center" vertical="center" wrapText="1"/>
    </xf>
    <xf numFmtId="0" fontId="47" fillId="0" borderId="13" xfId="0" applyFont="1" applyBorder="1" applyAlignment="1">
      <alignment vertical="center" wrapText="1"/>
    </xf>
    <xf numFmtId="0" fontId="47" fillId="0" borderId="14" xfId="0" applyFont="1" applyBorder="1" applyAlignment="1">
      <alignment vertical="center" wrapText="1"/>
    </xf>
    <xf numFmtId="178" fontId="60" fillId="0" borderId="0" xfId="4" applyNumberFormat="1" applyFont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7" fillId="0" borderId="12" xfId="0" applyFont="1" applyBorder="1" applyAlignment="1">
      <alignment horizontal="left" vertical="center" wrapText="1"/>
    </xf>
    <xf numFmtId="175" fontId="62" fillId="0" borderId="4" xfId="4" applyNumberFormat="1" applyFont="1" applyBorder="1" applyAlignment="1">
      <alignment horizontal="center" vertical="center" shrinkToFit="1"/>
    </xf>
    <xf numFmtId="0" fontId="63" fillId="0" borderId="26" xfId="0" applyFont="1" applyBorder="1" applyAlignment="1">
      <alignment horizontal="left" vertical="center" wrapText="1"/>
    </xf>
    <xf numFmtId="0" fontId="0" fillId="9" borderId="0" xfId="0" applyFill="1" applyAlignment="1">
      <alignment horizontal="center"/>
    </xf>
    <xf numFmtId="176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55" fillId="10" borderId="2" xfId="1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right"/>
    </xf>
    <xf numFmtId="166" fontId="0" fillId="11" borderId="0" xfId="0" applyNumberFormat="1" applyFill="1" applyAlignment="1">
      <alignment horizontal="right" vertical="center"/>
    </xf>
    <xf numFmtId="14" fontId="0" fillId="11" borderId="0" xfId="0" applyNumberFormat="1" applyFill="1" applyAlignment="1">
      <alignment horizontal="center" vertical="center"/>
    </xf>
    <xf numFmtId="166" fontId="0" fillId="11" borderId="0" xfId="0" applyNumberFormat="1" applyFill="1" applyAlignment="1">
      <alignment horizontal="center"/>
    </xf>
    <xf numFmtId="176" fontId="0" fillId="11" borderId="0" xfId="3" applyNumberFormat="1" applyFont="1" applyFill="1" applyBorder="1" applyAlignment="1"/>
    <xf numFmtId="177" fontId="0" fillId="11" borderId="0" xfId="0" applyNumberFormat="1" applyFill="1"/>
    <xf numFmtId="0" fontId="65" fillId="0" borderId="0" xfId="8"/>
    <xf numFmtId="181" fontId="66" fillId="0" borderId="4" xfId="10" applyNumberFormat="1" applyFont="1" applyBorder="1" applyAlignment="1">
      <alignment horizontal="center" vertical="center"/>
    </xf>
    <xf numFmtId="1" fontId="67" fillId="0" borderId="4" xfId="9" applyNumberFormat="1" applyFont="1" applyBorder="1" applyAlignment="1">
      <alignment horizontal="center" vertical="center"/>
    </xf>
    <xf numFmtId="2" fontId="67" fillId="0" borderId="4" xfId="10" applyNumberFormat="1" applyFont="1" applyBorder="1" applyAlignment="1">
      <alignment horizontal="center" vertical="center"/>
    </xf>
    <xf numFmtId="182" fontId="67" fillId="0" borderId="4" xfId="10" applyNumberFormat="1" applyFont="1" applyBorder="1" applyAlignment="1">
      <alignment vertical="center"/>
    </xf>
    <xf numFmtId="2" fontId="68" fillId="0" borderId="4" xfId="10" applyNumberFormat="1" applyFont="1" applyBorder="1" applyAlignment="1">
      <alignment horizontal="center" vertical="center"/>
    </xf>
    <xf numFmtId="181" fontId="67" fillId="0" borderId="4" xfId="10" applyNumberFormat="1" applyFont="1" applyBorder="1" applyAlignment="1">
      <alignment horizontal="center" vertical="center"/>
    </xf>
    <xf numFmtId="0" fontId="67" fillId="0" borderId="4" xfId="9" applyFont="1" applyBorder="1" applyAlignment="1">
      <alignment horizontal="right" vertical="center"/>
    </xf>
    <xf numFmtId="0" fontId="67" fillId="0" borderId="4" xfId="9" applyFont="1" applyBorder="1" applyAlignment="1">
      <alignment horizontal="left" vertical="center"/>
    </xf>
    <xf numFmtId="2" fontId="67" fillId="12" borderId="4" xfId="10" applyNumberFormat="1" applyFont="1" applyFill="1" applyBorder="1" applyAlignment="1">
      <alignment horizontal="center" vertical="center"/>
    </xf>
    <xf numFmtId="181" fontId="66" fillId="13" borderId="4" xfId="10" applyNumberFormat="1" applyFont="1" applyFill="1" applyBorder="1" applyAlignment="1">
      <alignment horizontal="center" vertical="center"/>
    </xf>
    <xf numFmtId="0" fontId="67" fillId="13" borderId="4" xfId="9" applyFont="1" applyFill="1" applyBorder="1" applyAlignment="1">
      <alignment horizontal="center" vertical="center"/>
    </xf>
    <xf numFmtId="2" fontId="67" fillId="13" borderId="4" xfId="10" applyNumberFormat="1" applyFont="1" applyFill="1" applyBorder="1" applyAlignment="1">
      <alignment horizontal="center" vertical="center"/>
    </xf>
    <xf numFmtId="183" fontId="67" fillId="13" borderId="4" xfId="10" applyNumberFormat="1" applyFont="1" applyFill="1" applyBorder="1" applyAlignment="1">
      <alignment vertical="center"/>
    </xf>
    <xf numFmtId="181" fontId="67" fillId="13" borderId="4" xfId="10" applyNumberFormat="1" applyFont="1" applyFill="1" applyBorder="1" applyAlignment="1">
      <alignment horizontal="center" vertical="center"/>
    </xf>
    <xf numFmtId="0" fontId="67" fillId="13" borderId="4" xfId="9" applyFont="1" applyFill="1" applyBorder="1" applyAlignment="1">
      <alignment horizontal="right" vertical="center"/>
    </xf>
    <xf numFmtId="0" fontId="67" fillId="13" borderId="4" xfId="9" applyFont="1" applyFill="1" applyBorder="1" applyAlignment="1">
      <alignment horizontal="left" vertical="center"/>
    </xf>
    <xf numFmtId="2" fontId="66" fillId="0" borderId="4" xfId="10" applyNumberFormat="1" applyFont="1" applyBorder="1" applyAlignment="1">
      <alignment horizontal="center" vertical="center"/>
    </xf>
    <xf numFmtId="0" fontId="67" fillId="0" borderId="4" xfId="9" applyFont="1" applyBorder="1" applyAlignment="1">
      <alignment horizontal="center" vertical="center"/>
    </xf>
    <xf numFmtId="183" fontId="67" fillId="0" borderId="4" xfId="10" applyNumberFormat="1" applyFont="1" applyBorder="1" applyAlignment="1">
      <alignment vertical="center"/>
    </xf>
    <xf numFmtId="0" fontId="66" fillId="0" borderId="9" xfId="8" applyFont="1" applyBorder="1" applyAlignment="1">
      <alignment horizontal="center"/>
    </xf>
    <xf numFmtId="180" fontId="66" fillId="0" borderId="11" xfId="9" applyNumberFormat="1" applyFont="1" applyBorder="1"/>
    <xf numFmtId="180" fontId="66" fillId="13" borderId="11" xfId="9" applyNumberFormat="1" applyFont="1" applyFill="1" applyBorder="1"/>
    <xf numFmtId="0" fontId="67" fillId="0" borderId="10" xfId="9" applyFont="1" applyBorder="1" applyAlignment="1">
      <alignment horizontal="left" vertical="center" wrapText="1"/>
    </xf>
    <xf numFmtId="0" fontId="67" fillId="0" borderId="5" xfId="9" applyFont="1" applyBorder="1" applyAlignment="1">
      <alignment horizontal="left" vertical="center" wrapText="1"/>
    </xf>
    <xf numFmtId="0" fontId="67" fillId="0" borderId="5" xfId="9" applyFont="1" applyBorder="1" applyAlignment="1">
      <alignment horizontal="right" vertical="center" wrapText="1"/>
    </xf>
    <xf numFmtId="0" fontId="67" fillId="0" borderId="5" xfId="9" applyFont="1" applyBorder="1" applyAlignment="1">
      <alignment horizontal="center" vertical="center" wrapText="1"/>
    </xf>
    <xf numFmtId="0" fontId="69" fillId="0" borderId="5" xfId="9" applyFont="1" applyBorder="1" applyAlignment="1">
      <alignment horizontal="center" vertical="center" wrapText="1"/>
    </xf>
    <xf numFmtId="0" fontId="67" fillId="0" borderId="5" xfId="9" applyFont="1" applyBorder="1" applyAlignment="1">
      <alignment vertical="center" wrapText="1"/>
    </xf>
    <xf numFmtId="184" fontId="66" fillId="0" borderId="5" xfId="9" applyNumberFormat="1" applyFont="1" applyBorder="1" applyAlignment="1">
      <alignment horizontal="center" vertical="center" wrapText="1"/>
    </xf>
    <xf numFmtId="180" fontId="66" fillId="0" borderId="12" xfId="9" applyNumberFormat="1" applyFont="1" applyBorder="1" applyAlignment="1">
      <alignment horizontal="center" vertical="center" wrapText="1"/>
    </xf>
    <xf numFmtId="0" fontId="66" fillId="0" borderId="14" xfId="8" applyFont="1" applyBorder="1" applyAlignment="1">
      <alignment horizontal="center"/>
    </xf>
    <xf numFmtId="0" fontId="67" fillId="0" borderId="2" xfId="9" applyFont="1" applyBorder="1" applyAlignment="1">
      <alignment horizontal="left" vertical="center"/>
    </xf>
    <xf numFmtId="0" fontId="67" fillId="0" borderId="2" xfId="9" applyFont="1" applyBorder="1" applyAlignment="1">
      <alignment horizontal="right" vertical="center"/>
    </xf>
    <xf numFmtId="181" fontId="67" fillId="0" borderId="2" xfId="10" applyNumberFormat="1" applyFont="1" applyBorder="1" applyAlignment="1">
      <alignment horizontal="center" vertical="center"/>
    </xf>
    <xf numFmtId="2" fontId="67" fillId="0" borderId="2" xfId="10" applyNumberFormat="1" applyFont="1" applyBorder="1" applyAlignment="1">
      <alignment horizontal="center" vertical="center"/>
    </xf>
    <xf numFmtId="2" fontId="68" fillId="0" borderId="2" xfId="10" applyNumberFormat="1" applyFont="1" applyBorder="1" applyAlignment="1">
      <alignment horizontal="center" vertical="center"/>
    </xf>
    <xf numFmtId="182" fontId="67" fillId="0" borderId="2" xfId="10" applyNumberFormat="1" applyFont="1" applyBorder="1" applyAlignment="1">
      <alignment vertical="center"/>
    </xf>
    <xf numFmtId="1" fontId="67" fillId="0" borderId="2" xfId="9" applyNumberFormat="1" applyFont="1" applyBorder="1" applyAlignment="1">
      <alignment horizontal="center" vertical="center"/>
    </xf>
    <xf numFmtId="181" fontId="66" fillId="0" borderId="2" xfId="10" applyNumberFormat="1" applyFont="1" applyBorder="1" applyAlignment="1">
      <alignment horizontal="center" vertical="center"/>
    </xf>
    <xf numFmtId="180" fontId="66" fillId="0" borderId="3" xfId="9" applyNumberFormat="1" applyFont="1" applyBorder="1"/>
    <xf numFmtId="0" fontId="71" fillId="0" borderId="4" xfId="9" applyFont="1" applyBorder="1" applyAlignment="1">
      <alignment horizontal="center" vertical="center"/>
    </xf>
    <xf numFmtId="3" fontId="72" fillId="0" borderId="4" xfId="9" applyNumberFormat="1" applyFont="1" applyBorder="1" applyAlignment="1">
      <alignment horizontal="center" vertical="center"/>
    </xf>
    <xf numFmtId="2" fontId="72" fillId="0" borderId="4" xfId="9" applyNumberFormat="1" applyFont="1" applyBorder="1" applyAlignment="1">
      <alignment horizontal="center" vertical="center"/>
    </xf>
    <xf numFmtId="181" fontId="72" fillId="0" borderId="4" xfId="11" applyNumberFormat="1" applyFont="1" applyFill="1" applyBorder="1" applyAlignment="1" applyProtection="1">
      <alignment horizontal="center" vertical="center"/>
    </xf>
    <xf numFmtId="2" fontId="72" fillId="0" borderId="4" xfId="11" applyNumberFormat="1" applyFont="1" applyFill="1" applyBorder="1" applyAlignment="1" applyProtection="1">
      <alignment horizontal="center" vertical="center"/>
    </xf>
    <xf numFmtId="2" fontId="74" fillId="0" borderId="4" xfId="11" applyNumberFormat="1" applyFont="1" applyFill="1" applyBorder="1" applyAlignment="1" applyProtection="1">
      <alignment horizontal="center" vertical="center"/>
    </xf>
    <xf numFmtId="2" fontId="72" fillId="0" borderId="4" xfId="7" applyNumberFormat="1" applyFont="1" applyFill="1" applyBorder="1" applyAlignment="1">
      <alignment horizontal="center" vertical="center"/>
    </xf>
    <xf numFmtId="183" fontId="72" fillId="0" borderId="4" xfId="11" applyNumberFormat="1" applyFont="1" applyFill="1" applyBorder="1" applyAlignment="1" applyProtection="1">
      <alignment vertical="center"/>
    </xf>
    <xf numFmtId="0" fontId="72" fillId="0" borderId="4" xfId="11" applyNumberFormat="1" applyFont="1" applyFill="1" applyBorder="1" applyAlignment="1" applyProtection="1">
      <alignment horizontal="center" vertical="center"/>
    </xf>
    <xf numFmtId="0" fontId="72" fillId="0" borderId="4" xfId="9" applyFont="1" applyBorder="1" applyAlignment="1">
      <alignment horizontal="center" vertical="center"/>
    </xf>
    <xf numFmtId="2" fontId="71" fillId="0" borderId="4" xfId="11" applyNumberFormat="1" applyFont="1" applyFill="1" applyBorder="1" applyAlignment="1" applyProtection="1">
      <alignment horizontal="center" vertical="center"/>
    </xf>
    <xf numFmtId="185" fontId="72" fillId="0" borderId="4" xfId="9" applyNumberFormat="1" applyFont="1" applyBorder="1" applyAlignment="1">
      <alignment horizontal="center"/>
    </xf>
    <xf numFmtId="0" fontId="66" fillId="0" borderId="14" xfId="0" applyFont="1" applyBorder="1" applyAlignment="1">
      <alignment horizontal="center"/>
    </xf>
    <xf numFmtId="0" fontId="67" fillId="0" borderId="2" xfId="0" applyFont="1" applyBorder="1" applyAlignment="1">
      <alignment horizontal="left" vertical="center"/>
    </xf>
    <xf numFmtId="0" fontId="67" fillId="0" borderId="2" xfId="0" applyFont="1" applyBorder="1" applyAlignment="1">
      <alignment horizontal="right" vertical="center"/>
    </xf>
    <xf numFmtId="181" fontId="67" fillId="0" borderId="2" xfId="0" applyNumberFormat="1" applyFont="1" applyBorder="1" applyAlignment="1">
      <alignment horizontal="center" vertical="center"/>
    </xf>
    <xf numFmtId="2" fontId="67" fillId="0" borderId="2" xfId="0" applyNumberFormat="1" applyFont="1" applyBorder="1" applyAlignment="1">
      <alignment horizontal="center" vertical="center"/>
    </xf>
    <xf numFmtId="2" fontId="68" fillId="0" borderId="2" xfId="0" applyNumberFormat="1" applyFont="1" applyBorder="1" applyAlignment="1">
      <alignment horizontal="center" vertical="center"/>
    </xf>
    <xf numFmtId="182" fontId="67" fillId="0" borderId="2" xfId="0" applyNumberFormat="1" applyFont="1" applyBorder="1" applyAlignment="1">
      <alignment vertical="center"/>
    </xf>
    <xf numFmtId="1" fontId="67" fillId="0" borderId="2" xfId="0" applyNumberFormat="1" applyFont="1" applyBorder="1" applyAlignment="1">
      <alignment horizontal="center" vertical="center"/>
    </xf>
    <xf numFmtId="181" fontId="66" fillId="0" borderId="2" xfId="0" applyNumberFormat="1" applyFont="1" applyBorder="1" applyAlignment="1">
      <alignment horizontal="center" vertical="center"/>
    </xf>
    <xf numFmtId="180" fontId="66" fillId="0" borderId="3" xfId="0" applyNumberFormat="1" applyFont="1" applyBorder="1"/>
    <xf numFmtId="181" fontId="4" fillId="0" borderId="4" xfId="1" applyNumberFormat="1" applyBorder="1"/>
    <xf numFmtId="186" fontId="67" fillId="0" borderId="4" xfId="9" applyNumberFormat="1" applyFont="1" applyBorder="1" applyAlignment="1">
      <alignment horizontal="right" vertical="center"/>
    </xf>
    <xf numFmtId="3" fontId="41" fillId="0" borderId="26" xfId="4" applyNumberFormat="1" applyFont="1" applyBorder="1" applyAlignment="1">
      <alignment horizontal="right" vertical="center" wrapText="1"/>
    </xf>
    <xf numFmtId="0" fontId="49" fillId="0" borderId="0" xfId="0" applyFont="1"/>
    <xf numFmtId="0" fontId="51" fillId="0" borderId="0" xfId="0" applyFont="1"/>
    <xf numFmtId="0" fontId="77" fillId="0" borderId="0" xfId="0" applyFont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0" fontId="75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76" fillId="0" borderId="0" xfId="0" applyFont="1" applyAlignment="1" applyProtection="1">
      <alignment vertical="center"/>
      <protection locked="0"/>
    </xf>
    <xf numFmtId="14" fontId="0" fillId="0" borderId="4" xfId="0" applyNumberFormat="1" applyBorder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wrapText="1"/>
    </xf>
    <xf numFmtId="49" fontId="0" fillId="0" borderId="5" xfId="0" applyNumberFormat="1" applyBorder="1"/>
    <xf numFmtId="49" fontId="0" fillId="0" borderId="4" xfId="0" applyNumberFormat="1" applyBorder="1" applyAlignment="1">
      <alignment vertical="center"/>
    </xf>
    <xf numFmtId="49" fontId="0" fillId="0" borderId="4" xfId="0" applyNumberFormat="1" applyBorder="1"/>
    <xf numFmtId="49" fontId="0" fillId="0" borderId="0" xfId="0" applyNumberFormat="1"/>
    <xf numFmtId="3" fontId="0" fillId="0" borderId="4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49" fontId="0" fillId="0" borderId="4" xfId="0" applyNumberFormat="1" applyBorder="1" applyAlignment="1">
      <alignment horizontal="center" vertical="center" wrapText="1"/>
    </xf>
    <xf numFmtId="176" fontId="0" fillId="11" borderId="0" xfId="0" applyNumberFormat="1" applyFill="1"/>
    <xf numFmtId="0" fontId="0" fillId="0" borderId="2" xfId="0" applyBorder="1" applyAlignment="1">
      <alignment horizontal="center"/>
    </xf>
    <xf numFmtId="0" fontId="6" fillId="0" borderId="55" xfId="0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49" fontId="0" fillId="0" borderId="5" xfId="0" applyNumberFormat="1" applyBorder="1" applyAlignment="1">
      <alignment vertical="center"/>
    </xf>
    <xf numFmtId="3" fontId="0" fillId="0" borderId="6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/>
    <xf numFmtId="0" fontId="6" fillId="11" borderId="55" xfId="0" applyFont="1" applyFill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81" fillId="0" borderId="4" xfId="0" applyFont="1" applyBorder="1" applyAlignment="1">
      <alignment horizontal="center" vertical="center"/>
    </xf>
    <xf numFmtId="0" fontId="81" fillId="0" borderId="56" xfId="0" applyFont="1" applyBorder="1" applyAlignment="1">
      <alignment horizontal="center" vertical="center"/>
    </xf>
    <xf numFmtId="0" fontId="81" fillId="0" borderId="9" xfId="0" applyFont="1" applyBorder="1" applyAlignment="1">
      <alignment horizontal="center"/>
    </xf>
    <xf numFmtId="0" fontId="81" fillId="0" borderId="11" xfId="0" applyFont="1" applyBorder="1" applyAlignment="1">
      <alignment horizontal="center" vertical="center"/>
    </xf>
    <xf numFmtId="0" fontId="81" fillId="0" borderId="4" xfId="0" applyFont="1" applyBorder="1"/>
    <xf numFmtId="0" fontId="81" fillId="0" borderId="56" xfId="0" applyFont="1" applyBorder="1" applyAlignment="1">
      <alignment horizontal="center"/>
    </xf>
    <xf numFmtId="0" fontId="82" fillId="0" borderId="9" xfId="0" applyFont="1" applyBorder="1"/>
    <xf numFmtId="0" fontId="83" fillId="0" borderId="9" xfId="0" applyFont="1" applyBorder="1"/>
    <xf numFmtId="16" fontId="81" fillId="0" borderId="11" xfId="0" applyNumberFormat="1" applyFont="1" applyBorder="1" applyAlignment="1">
      <alignment horizontal="center" vertical="center"/>
    </xf>
    <xf numFmtId="0" fontId="84" fillId="0" borderId="56" xfId="0" applyFont="1" applyBorder="1" applyAlignment="1">
      <alignment horizontal="center" vertical="center"/>
    </xf>
    <xf numFmtId="0" fontId="84" fillId="0" borderId="56" xfId="0" applyFont="1" applyBorder="1" applyAlignment="1">
      <alignment horizontal="center"/>
    </xf>
    <xf numFmtId="14" fontId="81" fillId="0" borderId="11" xfId="0" applyNumberFormat="1" applyFont="1" applyBorder="1" applyAlignment="1">
      <alignment horizontal="center" vertical="center"/>
    </xf>
    <xf numFmtId="0" fontId="62" fillId="0" borderId="0" xfId="0" applyFont="1"/>
    <xf numFmtId="0" fontId="10" fillId="0" borderId="0" xfId="0" applyFont="1" applyAlignment="1">
      <alignment vertical="center"/>
    </xf>
    <xf numFmtId="0" fontId="8" fillId="0" borderId="0" xfId="0" applyFont="1"/>
    <xf numFmtId="0" fontId="81" fillId="9" borderId="4" xfId="0" applyFont="1" applyFill="1" applyBorder="1"/>
    <xf numFmtId="0" fontId="85" fillId="0" borderId="4" xfId="0" applyFont="1" applyBorder="1" applyAlignment="1">
      <alignment horizontal="center" vertical="center"/>
    </xf>
    <xf numFmtId="0" fontId="85" fillId="0" borderId="4" xfId="0" applyFont="1" applyBorder="1"/>
    <xf numFmtId="0" fontId="86" fillId="0" borderId="9" xfId="0" applyFont="1" applyBorder="1"/>
    <xf numFmtId="0" fontId="80" fillId="5" borderId="4" xfId="0" applyFont="1" applyFill="1" applyBorder="1" applyAlignment="1">
      <alignment horizontal="center" vertical="center" wrapText="1"/>
    </xf>
    <xf numFmtId="49" fontId="80" fillId="5" borderId="4" xfId="0" applyNumberFormat="1" applyFont="1" applyFill="1" applyBorder="1" applyAlignment="1">
      <alignment horizontal="center" vertical="center" wrapText="1"/>
    </xf>
    <xf numFmtId="0" fontId="80" fillId="5" borderId="11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/>
    </xf>
    <xf numFmtId="49" fontId="0" fillId="14" borderId="4" xfId="0" applyNumberFormat="1" applyFill="1" applyBorder="1" applyAlignment="1">
      <alignment vertical="center"/>
    </xf>
    <xf numFmtId="0" fontId="0" fillId="14" borderId="4" xfId="0" applyFill="1" applyBorder="1" applyAlignment="1">
      <alignment horizontal="center" vertical="center"/>
    </xf>
    <xf numFmtId="168" fontId="0" fillId="14" borderId="4" xfId="0" applyNumberFormat="1" applyFill="1" applyBorder="1" applyAlignment="1">
      <alignment horizontal="center" vertical="center"/>
    </xf>
    <xf numFmtId="166" fontId="0" fillId="14" borderId="4" xfId="0" applyNumberFormat="1" applyFill="1" applyBorder="1" applyAlignment="1">
      <alignment horizontal="center" vertical="center"/>
    </xf>
    <xf numFmtId="0" fontId="0" fillId="14" borderId="4" xfId="0" applyFill="1" applyBorder="1"/>
    <xf numFmtId="49" fontId="5" fillId="2" borderId="2" xfId="1" applyNumberFormat="1" applyFont="1" applyFill="1" applyBorder="1" applyAlignment="1">
      <alignment horizontal="center" vertical="center" wrapText="1"/>
    </xf>
    <xf numFmtId="166" fontId="5" fillId="2" borderId="2" xfId="1" applyNumberFormat="1" applyFont="1" applyFill="1" applyBorder="1" applyAlignment="1">
      <alignment horizontal="right" vertical="center" wrapText="1"/>
    </xf>
    <xf numFmtId="14" fontId="11" fillId="2" borderId="2" xfId="1" applyNumberFormat="1" applyFont="1" applyFill="1" applyBorder="1" applyAlignment="1">
      <alignment horizontal="center" vertical="center" wrapText="1"/>
    </xf>
    <xf numFmtId="0" fontId="6" fillId="0" borderId="55" xfId="0" applyFont="1" applyBorder="1" applyAlignment="1">
      <alignment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0" xfId="0" applyBorder="1" applyAlignment="1">
      <alignment horizontal="right" vertical="center" wrapText="1"/>
    </xf>
    <xf numFmtId="166" fontId="0" fillId="0" borderId="50" xfId="0" applyNumberFormat="1" applyBorder="1" applyAlignment="1">
      <alignment horizontal="right" vertical="center" wrapText="1"/>
    </xf>
    <xf numFmtId="14" fontId="0" fillId="0" borderId="50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2" xfId="0" applyBorder="1" applyAlignment="1">
      <alignment wrapText="1"/>
    </xf>
    <xf numFmtId="0" fontId="87" fillId="0" borderId="0" xfId="0" applyFont="1" applyAlignment="1">
      <alignment horizontal="center" vertical="center"/>
    </xf>
    <xf numFmtId="0" fontId="87" fillId="0" borderId="0" xfId="0" applyFont="1" applyAlignment="1">
      <alignment vertical="center"/>
    </xf>
    <xf numFmtId="49" fontId="0" fillId="0" borderId="5" xfId="0" applyNumberFormat="1" applyBorder="1" applyAlignment="1">
      <alignment wrapText="1"/>
    </xf>
    <xf numFmtId="0" fontId="0" fillId="14" borderId="4" xfId="0" applyFill="1" applyBorder="1" applyAlignment="1">
      <alignment vertical="center" wrapText="1"/>
    </xf>
    <xf numFmtId="0" fontId="64" fillId="0" borderId="0" xfId="0" applyFont="1" applyAlignment="1">
      <alignment horizontal="left" vertical="center" wrapText="1"/>
    </xf>
    <xf numFmtId="0" fontId="6" fillId="14" borderId="57" xfId="0" applyFont="1" applyFill="1" applyBorder="1" applyAlignment="1">
      <alignment horizontal="left" vertical="center" wrapText="1"/>
    </xf>
    <xf numFmtId="0" fontId="0" fillId="14" borderId="57" xfId="0" applyFill="1" applyBorder="1" applyAlignment="1">
      <alignment horizontal="left" vertical="center" wrapText="1"/>
    </xf>
    <xf numFmtId="0" fontId="10" fillId="14" borderId="57" xfId="0" applyFont="1" applyFill="1" applyBorder="1" applyAlignment="1">
      <alignment horizontal="left" vertical="center" wrapText="1"/>
    </xf>
    <xf numFmtId="0" fontId="0" fillId="15" borderId="57" xfId="0" applyFill="1" applyBorder="1" applyAlignment="1">
      <alignment horizontal="left" vertical="center" wrapText="1"/>
    </xf>
    <xf numFmtId="0" fontId="6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8" fillId="5" borderId="4" xfId="0" applyFont="1" applyFill="1" applyBorder="1" applyAlignment="1">
      <alignment horizontal="center" vertical="center" wrapText="1"/>
    </xf>
    <xf numFmtId="187" fontId="88" fillId="16" borderId="4" xfId="0" applyNumberFormat="1" applyFont="1" applyFill="1" applyBorder="1" applyAlignment="1">
      <alignment horizontal="center" vertical="center" wrapText="1"/>
    </xf>
    <xf numFmtId="0" fontId="88" fillId="16" borderId="4" xfId="0" applyFont="1" applyFill="1" applyBorder="1" applyAlignment="1">
      <alignment horizontal="center" vertical="center" wrapText="1"/>
    </xf>
    <xf numFmtId="0" fontId="88" fillId="16" borderId="4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58" fillId="0" borderId="4" xfId="3" applyNumberFormat="1" applyFont="1" applyFill="1" applyBorder="1"/>
    <xf numFmtId="165" fontId="58" fillId="0" borderId="4" xfId="3" applyFont="1" applyFill="1" applyBorder="1"/>
    <xf numFmtId="188" fontId="9" fillId="0" borderId="4" xfId="3" applyNumberFormat="1" applyFont="1" applyFill="1" applyBorder="1"/>
    <xf numFmtId="165" fontId="16" fillId="0" borderId="4" xfId="3" applyFont="1" applyFill="1" applyBorder="1"/>
    <xf numFmtId="188" fontId="16" fillId="0" borderId="4" xfId="3" applyNumberFormat="1" applyFont="1" applyFill="1" applyBorder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165" fontId="0" fillId="0" borderId="4" xfId="3" applyFont="1" applyFill="1" applyBorder="1"/>
    <xf numFmtId="188" fontId="0" fillId="0" borderId="4" xfId="3" applyNumberFormat="1" applyFont="1" applyFill="1" applyBorder="1"/>
    <xf numFmtId="0" fontId="93" fillId="0" borderId="0" xfId="0" applyFont="1"/>
    <xf numFmtId="0" fontId="94" fillId="0" borderId="0" xfId="0" applyFont="1"/>
    <xf numFmtId="49" fontId="0" fillId="11" borderId="0" xfId="0" applyNumberFormat="1" applyFill="1"/>
    <xf numFmtId="14" fontId="95" fillId="0" borderId="0" xfId="0" applyNumberFormat="1" applyFont="1" applyAlignment="1">
      <alignment horizontal="center" vertical="center"/>
    </xf>
    <xf numFmtId="0" fontId="95" fillId="11" borderId="0" xfId="0" applyFont="1" applyFill="1"/>
    <xf numFmtId="0" fontId="96" fillId="11" borderId="0" xfId="0" applyFont="1" applyFill="1" applyAlignment="1">
      <alignment horizontal="center" vertical="center"/>
    </xf>
    <xf numFmtId="0" fontId="95" fillId="11" borderId="0" xfId="0" applyFont="1" applyFill="1" applyAlignment="1">
      <alignment horizontal="center"/>
    </xf>
    <xf numFmtId="0" fontId="95" fillId="11" borderId="0" xfId="0" applyFont="1" applyFill="1" applyAlignment="1">
      <alignment horizontal="right"/>
    </xf>
    <xf numFmtId="166" fontId="95" fillId="11" borderId="0" xfId="0" applyNumberFormat="1" applyFont="1" applyFill="1" applyAlignment="1">
      <alignment horizontal="right" vertical="center"/>
    </xf>
    <xf numFmtId="14" fontId="95" fillId="11" borderId="0" xfId="0" applyNumberFormat="1" applyFont="1" applyFill="1" applyAlignment="1">
      <alignment horizontal="center" vertical="center"/>
    </xf>
    <xf numFmtId="0" fontId="95" fillId="11" borderId="0" xfId="0" applyFont="1" applyFill="1" applyAlignment="1">
      <alignment horizontal="center" vertical="center"/>
    </xf>
    <xf numFmtId="166" fontId="95" fillId="11" borderId="0" xfId="0" applyNumberFormat="1" applyFont="1" applyFill="1" applyAlignment="1">
      <alignment horizontal="center"/>
    </xf>
    <xf numFmtId="176" fontId="95" fillId="11" borderId="0" xfId="3" applyNumberFormat="1" applyFont="1" applyFill="1" applyBorder="1" applyAlignment="1"/>
    <xf numFmtId="176" fontId="95" fillId="11" borderId="0" xfId="0" applyNumberFormat="1" applyFont="1" applyFill="1"/>
    <xf numFmtId="177" fontId="95" fillId="11" borderId="0" xfId="0" applyNumberFormat="1" applyFont="1" applyFill="1"/>
    <xf numFmtId="167" fontId="97" fillId="7" borderId="7" xfId="0" applyNumberFormat="1" applyFont="1" applyFill="1" applyBorder="1" applyAlignment="1">
      <alignment horizontal="center" vertical="center"/>
    </xf>
    <xf numFmtId="167" fontId="97" fillId="7" borderId="4" xfId="0" applyNumberFormat="1" applyFont="1" applyFill="1" applyBorder="1" applyAlignment="1">
      <alignment horizontal="center" vertical="center"/>
    </xf>
    <xf numFmtId="0" fontId="98" fillId="0" borderId="0" xfId="0" applyFont="1" applyAlignment="1">
      <alignment horizontal="right"/>
    </xf>
    <xf numFmtId="166" fontId="98" fillId="0" borderId="0" xfId="0" applyNumberFormat="1" applyFont="1" applyAlignment="1">
      <alignment horizontal="right" vertical="center"/>
    </xf>
    <xf numFmtId="14" fontId="98" fillId="0" borderId="0" xfId="0" applyNumberFormat="1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8" fillId="0" borderId="0" xfId="0" applyFont="1" applyAlignment="1">
      <alignment horizontal="center"/>
    </xf>
    <xf numFmtId="0" fontId="0" fillId="17" borderId="0" xfId="0" applyFill="1"/>
    <xf numFmtId="0" fontId="0" fillId="18" borderId="0" xfId="0" applyFill="1"/>
    <xf numFmtId="0" fontId="0" fillId="9" borderId="0" xfId="0" applyFill="1"/>
    <xf numFmtId="0" fontId="0" fillId="19" borderId="0" xfId="0" applyFill="1"/>
    <xf numFmtId="0" fontId="2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44" fillId="0" borderId="15" xfId="4" applyFont="1" applyBorder="1" applyAlignment="1">
      <alignment horizontal="left" vertical="center" wrapText="1"/>
    </xf>
    <xf numFmtId="0" fontId="44" fillId="0" borderId="0" xfId="4" applyFont="1" applyAlignment="1">
      <alignment horizontal="left" vertical="center" wrapText="1"/>
    </xf>
    <xf numFmtId="0" fontId="44" fillId="0" borderId="44" xfId="4" applyFont="1" applyBorder="1" applyAlignment="1">
      <alignment horizontal="left" vertical="center" wrapText="1"/>
    </xf>
    <xf numFmtId="0" fontId="36" fillId="0" borderId="32" xfId="4" applyFont="1" applyBorder="1" applyAlignment="1">
      <alignment horizontal="left" vertical="top" wrapText="1"/>
    </xf>
    <xf numFmtId="0" fontId="43" fillId="0" borderId="26" xfId="4" applyFont="1" applyBorder="1" applyAlignment="1">
      <alignment horizontal="left" vertical="top" wrapText="1"/>
    </xf>
    <xf numFmtId="0" fontId="43" fillId="0" borderId="25" xfId="4" applyFont="1" applyBorder="1" applyAlignment="1">
      <alignment horizontal="left" vertical="top" wrapText="1"/>
    </xf>
    <xf numFmtId="0" fontId="43" fillId="0" borderId="47" xfId="4" applyFont="1" applyBorder="1" applyAlignment="1">
      <alignment horizontal="left" vertical="top" wrapText="1"/>
    </xf>
    <xf numFmtId="0" fontId="43" fillId="0" borderId="0" xfId="4" applyFont="1" applyAlignment="1">
      <alignment horizontal="left" vertical="top" wrapText="1"/>
    </xf>
    <xf numFmtId="0" fontId="43" fillId="0" borderId="16" xfId="4" applyFont="1" applyBorder="1" applyAlignment="1">
      <alignment horizontal="left" vertical="top" wrapText="1"/>
    </xf>
    <xf numFmtId="0" fontId="43" fillId="0" borderId="29" xfId="4" applyFont="1" applyBorder="1" applyAlignment="1">
      <alignment horizontal="left" vertical="top" wrapText="1"/>
    </xf>
    <xf numFmtId="0" fontId="43" fillId="0" borderId="28" xfId="4" applyFont="1" applyBorder="1" applyAlignment="1">
      <alignment horizontal="left" vertical="top" wrapText="1"/>
    </xf>
    <xf numFmtId="0" fontId="43" fillId="0" borderId="27" xfId="4" applyFont="1" applyBorder="1" applyAlignment="1">
      <alignment horizontal="left" vertical="top" wrapText="1"/>
    </xf>
    <xf numFmtId="0" fontId="32" fillId="0" borderId="26" xfId="4" applyBorder="1" applyAlignment="1">
      <alignment horizontal="left" vertical="top" wrapText="1"/>
    </xf>
    <xf numFmtId="0" fontId="32" fillId="0" borderId="25" xfId="4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36" fillId="0" borderId="2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center" vertical="top" wrapText="1"/>
    </xf>
    <xf numFmtId="0" fontId="36" fillId="0" borderId="2" xfId="0" applyFont="1" applyBorder="1" applyAlignment="1">
      <alignment horizontal="center" vertical="top" wrapText="1"/>
    </xf>
    <xf numFmtId="0" fontId="37" fillId="0" borderId="52" xfId="0" applyFont="1" applyBorder="1" applyAlignment="1">
      <alignment horizontal="center" vertical="top" wrapText="1"/>
    </xf>
    <xf numFmtId="0" fontId="37" fillId="0" borderId="53" xfId="0" applyFont="1" applyBorder="1" applyAlignment="1">
      <alignment horizontal="center" vertical="top" wrapText="1"/>
    </xf>
    <xf numFmtId="0" fontId="36" fillId="0" borderId="32" xfId="0" applyFont="1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36" fillId="0" borderId="34" xfId="4" applyFont="1" applyBorder="1" applyAlignment="1">
      <alignment horizontal="left" vertical="top" wrapText="1"/>
    </xf>
    <xf numFmtId="0" fontId="36" fillId="0" borderId="26" xfId="4" applyFont="1" applyBorder="1" applyAlignment="1">
      <alignment horizontal="left" vertical="top" wrapText="1"/>
    </xf>
    <xf numFmtId="0" fontId="36" fillId="0" borderId="33" xfId="4" applyFont="1" applyBorder="1" applyAlignment="1">
      <alignment horizontal="left" vertical="top" wrapText="1"/>
    </xf>
    <xf numFmtId="0" fontId="43" fillId="0" borderId="34" xfId="0" applyFont="1" applyBorder="1" applyAlignment="1">
      <alignment horizontal="left" vertical="top" wrapText="1"/>
    </xf>
    <xf numFmtId="0" fontId="36" fillId="0" borderId="26" xfId="0" applyFont="1" applyBorder="1" applyAlignment="1">
      <alignment horizontal="left" vertical="top" wrapText="1"/>
    </xf>
    <xf numFmtId="0" fontId="36" fillId="0" borderId="33" xfId="0" applyFont="1" applyBorder="1" applyAlignment="1">
      <alignment horizontal="left" vertical="top" wrapText="1"/>
    </xf>
    <xf numFmtId="0" fontId="44" fillId="0" borderId="41" xfId="4" applyFont="1" applyBorder="1" applyAlignment="1">
      <alignment horizontal="left" vertical="top" wrapText="1"/>
    </xf>
    <xf numFmtId="0" fontId="44" fillId="0" borderId="28" xfId="4" applyFont="1" applyBorder="1" applyAlignment="1">
      <alignment horizontal="left" vertical="top" wrapText="1"/>
    </xf>
    <xf numFmtId="0" fontId="44" fillId="0" borderId="40" xfId="4" applyFont="1" applyBorder="1" applyAlignment="1">
      <alignment horizontal="left" vertical="top" wrapText="1"/>
    </xf>
    <xf numFmtId="0" fontId="32" fillId="0" borderId="37" xfId="4" applyBorder="1" applyAlignment="1">
      <alignment horizontal="center" vertical="center" wrapText="1"/>
    </xf>
    <xf numFmtId="0" fontId="32" fillId="0" borderId="30" xfId="4" applyBorder="1" applyAlignment="1">
      <alignment horizontal="center" vertical="center" wrapText="1"/>
    </xf>
    <xf numFmtId="0" fontId="32" fillId="0" borderId="32" xfId="4" applyBorder="1" applyAlignment="1">
      <alignment horizontal="center" vertical="top" wrapText="1"/>
    </xf>
    <xf numFmtId="0" fontId="32" fillId="0" borderId="33" xfId="4" applyBorder="1" applyAlignment="1">
      <alignment horizontal="center" vertical="top" wrapText="1"/>
    </xf>
    <xf numFmtId="0" fontId="32" fillId="0" borderId="29" xfId="4" applyBorder="1" applyAlignment="1">
      <alignment horizontal="center" vertical="top" wrapText="1"/>
    </xf>
    <xf numFmtId="0" fontId="32" fillId="0" borderId="40" xfId="4" applyBorder="1" applyAlignment="1">
      <alignment horizontal="center" vertical="top" wrapText="1"/>
    </xf>
    <xf numFmtId="0" fontId="42" fillId="0" borderId="15" xfId="0" applyFont="1" applyBorder="1" applyAlignment="1">
      <alignment horizontal="left" vertical="top" wrapText="1"/>
    </xf>
    <xf numFmtId="0" fontId="46" fillId="0" borderId="48" xfId="0" applyFont="1" applyBorder="1" applyAlignment="1">
      <alignment horizontal="left" vertical="top" wrapText="1"/>
    </xf>
    <xf numFmtId="0" fontId="45" fillId="0" borderId="13" xfId="0" applyFont="1" applyBorder="1" applyAlignment="1">
      <alignment horizontal="left" vertical="top" wrapText="1"/>
    </xf>
    <xf numFmtId="0" fontId="45" fillId="0" borderId="14" xfId="0" applyFont="1" applyBorder="1" applyAlignment="1">
      <alignment horizontal="left" vertical="top" wrapText="1"/>
    </xf>
    <xf numFmtId="0" fontId="45" fillId="0" borderId="48" xfId="0" applyFont="1" applyBorder="1" applyAlignment="1">
      <alignment horizontal="left" vertical="top" wrapText="1"/>
    </xf>
    <xf numFmtId="0" fontId="39" fillId="0" borderId="29" xfId="0" applyFont="1" applyBorder="1" applyAlignment="1">
      <alignment horizontal="left" vertical="top" wrapText="1"/>
    </xf>
    <xf numFmtId="0" fontId="39" fillId="0" borderId="28" xfId="0" applyFont="1" applyBorder="1" applyAlignment="1">
      <alignment horizontal="left" vertical="top" wrapText="1"/>
    </xf>
    <xf numFmtId="0" fontId="37" fillId="0" borderId="28" xfId="0" applyFont="1" applyBorder="1" applyAlignment="1">
      <alignment horizontal="left" vertical="top" wrapText="1"/>
    </xf>
    <xf numFmtId="0" fontId="39" fillId="0" borderId="27" xfId="0" applyFont="1" applyBorder="1" applyAlignment="1">
      <alignment horizontal="left" vertical="top" wrapText="1"/>
    </xf>
    <xf numFmtId="0" fontId="42" fillId="0" borderId="3" xfId="4" applyFont="1" applyBorder="1" applyAlignment="1">
      <alignment horizontal="center" vertical="top" wrapText="1"/>
    </xf>
    <xf numFmtId="0" fontId="42" fillId="0" borderId="13" xfId="4" applyFont="1" applyBorder="1" applyAlignment="1">
      <alignment horizontal="center" vertical="top" wrapText="1"/>
    </xf>
    <xf numFmtId="0" fontId="42" fillId="0" borderId="15" xfId="4" applyFont="1" applyBorder="1" applyAlignment="1">
      <alignment horizontal="center" vertical="top" wrapText="1"/>
    </xf>
    <xf numFmtId="0" fontId="42" fillId="0" borderId="0" xfId="4" applyFont="1" applyAlignment="1">
      <alignment horizontal="center" vertical="top" wrapText="1"/>
    </xf>
    <xf numFmtId="0" fontId="42" fillId="0" borderId="41" xfId="4" applyFont="1" applyBorder="1" applyAlignment="1">
      <alignment horizontal="center" vertical="top" wrapText="1"/>
    </xf>
    <xf numFmtId="0" fontId="42" fillId="0" borderId="28" xfId="4" applyFont="1" applyBorder="1" applyAlignment="1">
      <alignment horizontal="center" vertical="top" wrapText="1"/>
    </xf>
    <xf numFmtId="0" fontId="33" fillId="0" borderId="3" xfId="4" applyFont="1" applyBorder="1" applyAlignment="1">
      <alignment horizontal="center" vertical="top" wrapText="1"/>
    </xf>
    <xf numFmtId="0" fontId="33" fillId="0" borderId="13" xfId="4" applyFont="1" applyBorder="1" applyAlignment="1">
      <alignment horizontal="center" vertical="top" wrapText="1"/>
    </xf>
    <xf numFmtId="0" fontId="33" fillId="0" borderId="14" xfId="4" applyFont="1" applyBorder="1" applyAlignment="1">
      <alignment horizontal="center" vertical="top" wrapText="1"/>
    </xf>
    <xf numFmtId="0" fontId="33" fillId="0" borderId="24" xfId="4" applyFont="1" applyBorder="1" applyAlignment="1">
      <alignment horizontal="center" vertical="top" wrapText="1"/>
    </xf>
    <xf numFmtId="0" fontId="33" fillId="0" borderId="23" xfId="4" applyFont="1" applyBorder="1" applyAlignment="1">
      <alignment horizontal="center" vertical="top" wrapText="1"/>
    </xf>
    <xf numFmtId="0" fontId="33" fillId="0" borderId="22" xfId="4" applyFont="1" applyBorder="1" applyAlignment="1">
      <alignment horizontal="center" vertical="top" wrapText="1"/>
    </xf>
    <xf numFmtId="0" fontId="33" fillId="0" borderId="15" xfId="4" applyFont="1" applyBorder="1" applyAlignment="1">
      <alignment horizontal="center" vertical="top" wrapText="1"/>
    </xf>
    <xf numFmtId="0" fontId="33" fillId="0" borderId="0" xfId="4" applyFont="1" applyAlignment="1">
      <alignment horizontal="center" vertical="top" wrapText="1"/>
    </xf>
    <xf numFmtId="0" fontId="33" fillId="0" borderId="16" xfId="4" applyFont="1" applyBorder="1" applyAlignment="1">
      <alignment horizontal="center" vertical="top" wrapText="1"/>
    </xf>
    <xf numFmtId="0" fontId="33" fillId="0" borderId="12" xfId="4" applyFont="1" applyBorder="1" applyAlignment="1">
      <alignment horizontal="center" vertical="top" wrapText="1"/>
    </xf>
    <xf numFmtId="0" fontId="33" fillId="0" borderId="1" xfId="4" applyFont="1" applyBorder="1" applyAlignment="1">
      <alignment horizontal="center" vertical="top" wrapText="1"/>
    </xf>
    <xf numFmtId="0" fontId="33" fillId="0" borderId="10" xfId="4" applyFont="1" applyBorder="1" applyAlignment="1">
      <alignment horizontal="center" vertical="top" wrapText="1"/>
    </xf>
    <xf numFmtId="0" fontId="35" fillId="0" borderId="7" xfId="4" applyFont="1" applyBorder="1" applyAlignment="1">
      <alignment horizontal="left" vertical="top" wrapText="1"/>
    </xf>
    <xf numFmtId="0" fontId="35" fillId="0" borderId="9" xfId="4" applyFont="1" applyBorder="1" applyAlignment="1">
      <alignment horizontal="left" vertical="top" wrapText="1"/>
    </xf>
    <xf numFmtId="0" fontId="36" fillId="0" borderId="35" xfId="0" applyFont="1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36" fillId="0" borderId="37" xfId="0" applyFont="1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60" fillId="0" borderId="48" xfId="4" applyFont="1" applyBorder="1" applyAlignment="1">
      <alignment horizontal="center" vertical="center" wrapText="1"/>
    </xf>
    <xf numFmtId="0" fontId="60" fillId="0" borderId="49" xfId="4" applyFont="1" applyBorder="1" applyAlignment="1">
      <alignment horizontal="center" vertical="center" wrapText="1"/>
    </xf>
    <xf numFmtId="0" fontId="60" fillId="0" borderId="47" xfId="4" applyFont="1" applyBorder="1" applyAlignment="1">
      <alignment horizontal="center" vertical="center" wrapText="1"/>
    </xf>
    <xf numFmtId="0" fontId="60" fillId="0" borderId="44" xfId="4" applyFont="1" applyBorder="1" applyAlignment="1">
      <alignment horizontal="center" vertical="center" wrapText="1"/>
    </xf>
    <xf numFmtId="179" fontId="47" fillId="0" borderId="13" xfId="0" applyNumberFormat="1" applyFont="1" applyBorder="1" applyAlignment="1">
      <alignment horizontal="center" vertical="center" wrapText="1"/>
    </xf>
    <xf numFmtId="179" fontId="47" fillId="0" borderId="0" xfId="0" applyNumberFormat="1" applyFont="1" applyAlignment="1">
      <alignment horizontal="center" vertical="center" wrapText="1"/>
    </xf>
    <xf numFmtId="0" fontId="32" fillId="0" borderId="41" xfId="4" applyBorder="1" applyAlignment="1">
      <alignment horizontal="left" vertical="center" wrapText="1"/>
    </xf>
    <xf numFmtId="0" fontId="32" fillId="0" borderId="28" xfId="4" applyBorder="1" applyAlignment="1">
      <alignment horizontal="left" vertical="center" wrapText="1"/>
    </xf>
    <xf numFmtId="0" fontId="32" fillId="0" borderId="40" xfId="4" applyBorder="1" applyAlignment="1">
      <alignment horizontal="left" vertical="center" wrapText="1"/>
    </xf>
    <xf numFmtId="0" fontId="32" fillId="0" borderId="37" xfId="4" applyBorder="1" applyAlignment="1">
      <alignment horizontal="left" vertical="center" wrapText="1"/>
    </xf>
    <xf numFmtId="0" fontId="32" fillId="0" borderId="30" xfId="4" applyBorder="1" applyAlignment="1">
      <alignment horizontal="left" vertical="center" wrapText="1"/>
    </xf>
    <xf numFmtId="0" fontId="60" fillId="0" borderId="29" xfId="4" applyFont="1" applyBorder="1" applyAlignment="1">
      <alignment horizontal="center" vertical="center" wrapText="1"/>
    </xf>
    <xf numFmtId="0" fontId="60" fillId="0" borderId="40" xfId="4" applyFont="1" applyBorder="1" applyAlignment="1">
      <alignment horizontal="center" vertical="center" wrapText="1"/>
    </xf>
    <xf numFmtId="0" fontId="36" fillId="0" borderId="15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44" xfId="0" applyFont="1" applyBorder="1" applyAlignment="1">
      <alignment horizontal="left" vertical="top" wrapText="1"/>
    </xf>
    <xf numFmtId="0" fontId="37" fillId="0" borderId="31" xfId="0" applyFont="1" applyBorder="1" applyAlignment="1">
      <alignment horizontal="left" vertical="top" wrapText="1" indent="2"/>
    </xf>
    <xf numFmtId="0" fontId="0" fillId="0" borderId="31" xfId="0" applyBorder="1" applyAlignment="1">
      <alignment horizontal="left" vertical="top" wrapText="1" indent="2"/>
    </xf>
    <xf numFmtId="0" fontId="37" fillId="0" borderId="31" xfId="0" applyFont="1" applyBorder="1" applyAlignment="1">
      <alignment horizontal="left" vertical="top" wrapText="1" indent="3"/>
    </xf>
    <xf numFmtId="0" fontId="0" fillId="0" borderId="31" xfId="0" applyBorder="1" applyAlignment="1">
      <alignment horizontal="left" vertical="top" wrapText="1" indent="3"/>
    </xf>
    <xf numFmtId="179" fontId="47" fillId="0" borderId="1" xfId="0" applyNumberFormat="1" applyFont="1" applyBorder="1" applyAlignment="1">
      <alignment horizontal="center" vertical="center" wrapText="1"/>
    </xf>
    <xf numFmtId="0" fontId="37" fillId="0" borderId="11" xfId="0" applyFont="1" applyBorder="1" applyAlignment="1">
      <alignment horizontal="left" vertical="top" wrapText="1"/>
    </xf>
    <xf numFmtId="0" fontId="37" fillId="0" borderId="7" xfId="0" applyFont="1" applyBorder="1" applyAlignment="1">
      <alignment horizontal="left" vertical="top" wrapText="1"/>
    </xf>
    <xf numFmtId="0" fontId="37" fillId="0" borderId="9" xfId="0" applyFont="1" applyBorder="1" applyAlignment="1">
      <alignment horizontal="left" vertical="top" wrapText="1"/>
    </xf>
    <xf numFmtId="0" fontId="42" fillId="0" borderId="0" xfId="0" applyFont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2" fillId="0" borderId="45" xfId="4" applyBorder="1" applyAlignment="1">
      <alignment horizontal="left" vertical="top" wrapText="1"/>
    </xf>
    <xf numFmtId="0" fontId="32" fillId="0" borderId="42" xfId="4" applyBorder="1" applyAlignment="1">
      <alignment horizontal="left" vertical="top" wrapText="1"/>
    </xf>
    <xf numFmtId="0" fontId="32" fillId="0" borderId="15" xfId="4" applyBorder="1" applyAlignment="1">
      <alignment horizontal="left" vertical="top" wrapText="1"/>
    </xf>
    <xf numFmtId="0" fontId="32" fillId="0" borderId="0" xfId="4" applyAlignment="1">
      <alignment horizontal="left" vertical="top" wrapText="1"/>
    </xf>
    <xf numFmtId="0" fontId="32" fillId="0" borderId="44" xfId="4" applyBorder="1" applyAlignment="1">
      <alignment horizontal="left" vertical="top" wrapText="1"/>
    </xf>
    <xf numFmtId="0" fontId="32" fillId="0" borderId="15" xfId="4" applyBorder="1" applyAlignment="1">
      <alignment horizontal="left" vertical="center" wrapText="1"/>
    </xf>
    <xf numFmtId="0" fontId="32" fillId="0" borderId="0" xfId="4" applyAlignment="1">
      <alignment horizontal="left" vertical="center" wrapText="1"/>
    </xf>
    <xf numFmtId="0" fontId="32" fillId="0" borderId="44" xfId="4" applyBorder="1" applyAlignment="1">
      <alignment horizontal="left" vertical="center" wrapText="1"/>
    </xf>
    <xf numFmtId="0" fontId="32" fillId="0" borderId="32" xfId="4" applyBorder="1" applyAlignment="1">
      <alignment horizontal="left" vertical="top" wrapText="1"/>
    </xf>
    <xf numFmtId="0" fontId="32" fillId="0" borderId="33" xfId="4" applyBorder="1" applyAlignment="1">
      <alignment horizontal="left" vertical="top" wrapText="1"/>
    </xf>
    <xf numFmtId="0" fontId="32" fillId="0" borderId="29" xfId="4" applyBorder="1" applyAlignment="1">
      <alignment horizontal="left" vertical="top" wrapText="1"/>
    </xf>
    <xf numFmtId="0" fontId="32" fillId="0" borderId="40" xfId="4" applyBorder="1" applyAlignment="1">
      <alignment horizontal="left" vertical="top" wrapText="1"/>
    </xf>
    <xf numFmtId="0" fontId="49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right" vertical="center"/>
    </xf>
    <xf numFmtId="3" fontId="49" fillId="0" borderId="0" xfId="0" applyNumberFormat="1" applyFont="1" applyAlignment="1">
      <alignment horizontal="right" vertical="center"/>
    </xf>
    <xf numFmtId="0" fontId="49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5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2" fillId="8" borderId="11" xfId="0" applyFont="1" applyFill="1" applyBorder="1" applyAlignment="1">
      <alignment horizontal="left" vertical="center" wrapText="1"/>
    </xf>
    <xf numFmtId="0" fontId="22" fillId="8" borderId="7" xfId="0" applyFont="1" applyFill="1" applyBorder="1" applyAlignment="1">
      <alignment horizontal="left" vertical="center" wrapText="1"/>
    </xf>
    <xf numFmtId="0" fontId="22" fillId="8" borderId="7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7" fillId="0" borderId="17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8" fillId="0" borderId="13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26" fillId="0" borderId="20" xfId="0" applyFont="1" applyBorder="1" applyAlignment="1">
      <alignment horizontal="left" vertical="center"/>
    </xf>
    <xf numFmtId="0" fontId="20" fillId="0" borderId="2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20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70" fillId="0" borderId="0" xfId="9" applyFont="1" applyAlignment="1">
      <alignment horizontal="center"/>
    </xf>
  </cellXfs>
  <cellStyles count="12">
    <cellStyle name="Currency 2" xfId="11" xr:uid="{00000000-0005-0000-0000-000000000000}"/>
    <cellStyle name="Ezres" xfId="3" builtinId="3"/>
    <cellStyle name="Magyarázó szöveg 2" xfId="6" xr:uid="{00000000-0005-0000-0000-000002000000}"/>
    <cellStyle name="Normál" xfId="0" builtinId="0"/>
    <cellStyle name="Normal 2" xfId="1" xr:uid="{00000000-0005-0000-0000-000004000000}"/>
    <cellStyle name="Normál 2" xfId="4" xr:uid="{00000000-0005-0000-0000-000005000000}"/>
    <cellStyle name="Normál 3" xfId="5" xr:uid="{00000000-0005-0000-0000-000006000000}"/>
    <cellStyle name="Normál 4" xfId="8" xr:uid="{00000000-0005-0000-0000-000007000000}"/>
    <cellStyle name="Pénznem" xfId="7" builtinId="4"/>
    <cellStyle name="Pénznem 2" xfId="10" xr:uid="{00000000-0005-0000-0000-000009000000}"/>
    <cellStyle name="Percent 2" xfId="2" xr:uid="{00000000-0005-0000-0000-00000A000000}"/>
    <cellStyle name="Standard_08.06.16-PB-Magma Preise KW24 bei 220" xfId="9" xr:uid="{00000000-0005-0000-0000-00000B000000}"/>
  </cellStyles>
  <dxfs count="1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80" formatCode="_-* #,##0.0000\ _D_M_-;\-* #,##0.0000\ _D_M_-;_-* &quot;-&quot;??\ _D_M_-;_-@_-"/>
      <border diagonalUp="0" diagonalDown="0" outline="0">
        <start style="thin">
          <color auto="1"/>
        </start>
        <end/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80" formatCode="_-* #,##0.0000\ _D_M_-;\-* #,##0.0000\ _D_M_-;_-* &quot;-&quot;??\ _D_M_-;_-@_-"/>
      <border diagonalUp="0" diagonalDown="0">
        <start style="thin">
          <color auto="1"/>
        </start>
        <end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81" formatCode="0.000"/>
      <alignment horizontal="center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81" formatCode="0.000"/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82" formatCode="#,##0.0\ _D_M"/>
      <alignment horizontal="general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82" formatCode="#,##0.0\ _D_M"/>
      <alignment horizontal="general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0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0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81" formatCode="0.000"/>
      <alignment horizontal="center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81" formatCode="0.000"/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start/>
        <end style="thin">
          <color auto="1"/>
        </end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start/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&quot; db&quot;"/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</border>
    </dxf>
    <dxf>
      <numFmt numFmtId="168" formatCode="#,##0&quot; mp&quot;"/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/>
        <vertical/>
        <horizontal/>
      </border>
    </dxf>
    <dxf>
      <numFmt numFmtId="168" formatCode="#,##0&quot; mp&quot;"/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/>
        <vertical/>
        <horizontal/>
      </border>
    </dxf>
    <dxf>
      <numFmt numFmtId="168" formatCode="#,##0&quot; mp&quot;"/>
      <alignment horizontal="center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#,##0.00&quot; g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#,##0.00&quot; g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#,##0.00&quot; g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start/>
        <end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start style="thin">
          <color indexed="64"/>
        </start>
        <end style="thin">
          <color indexed="64"/>
        </end>
        <top/>
        <bottom style="thin">
          <color indexed="64"/>
        </bottom>
        <vertical/>
        <horizontal/>
      </border>
    </dxf>
    <dxf>
      <numFmt numFmtId="30" formatCode="@"/>
      <border diagonalUp="0" diagonalDown="0">
        <start style="thin">
          <color indexed="64"/>
        </start>
        <end style="thin">
          <color indexed="64"/>
        </end>
        <top/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/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/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start/>
        <end style="thin">
          <color indexed="64"/>
        </end>
        <top/>
        <bottom style="thin">
          <color indexed="64"/>
        </bottom>
        <vertical/>
        <horizontal/>
      </border>
    </dxf>
    <dxf>
      <border outline="0">
        <start style="thin">
          <color indexed="64"/>
        </start>
        <end style="thin">
          <color auto="1"/>
        </end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166" formatCode="#,##0&quot; db&quot;"/>
      <alignment horizontal="right" vertical="center" textRotation="0" wrapText="0" indent="0" justifyLastLine="0" shrinkToFit="0" readingOrder="0"/>
      <border diagonalUp="0" diagonalDown="0">
        <start/>
        <end/>
        <top style="thin">
          <color theme="7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89" formatCode="yyyy/mm/dd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start/>
        <end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89" formatCode="yyyy/mm/dd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start/>
        <end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#,##0&quot; db&quot;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start/>
        <end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start/>
        <end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start/>
        <end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start/>
        <end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start/>
        <end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start/>
        <end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start/>
        <end/>
        <top style="thin">
          <color theme="7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start style="thin">
          <color theme="7"/>
        </start>
        <end/>
        <top style="thin">
          <color theme="7"/>
        </top>
        <bottom/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ill>
        <patternFill patternType="solid">
          <fgColor indexed="64"/>
          <bgColor rgb="FFD8BFD8"/>
        </patternFill>
      </fill>
    </dxf>
    <dxf>
      <numFmt numFmtId="177" formatCode="#,##0&quot; óra&quot;"/>
    </dxf>
    <dxf>
      <numFmt numFmtId="176" formatCode="##,#0#\ &quot;kg&quot;"/>
    </dxf>
    <dxf>
      <numFmt numFmtId="176" formatCode="##,#0#\ &quot;kg&quot;"/>
      <alignment horizontal="general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6" formatCode="#,##0&quot; db&quot;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89" formatCode="yyyy/mm/dd"/>
      <alignment horizontal="center" vertical="center" textRotation="0" wrapText="0" indent="0" justifyLastLine="0" shrinkToFit="0" readingOrder="0"/>
    </dxf>
    <dxf>
      <numFmt numFmtId="189" formatCode="yyyy/mm/dd"/>
      <alignment horizontal="center" vertical="center" textRotation="0" indent="0" justifyLastLine="0" shrinkToFit="0" readingOrder="0"/>
    </dxf>
    <dxf>
      <numFmt numFmtId="189" formatCode="yyyy/mm/dd"/>
      <alignment horizontal="center"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#,##0&quot; db&quot;"/>
      <alignment horizontal="right" vertical="center" textRotation="0" wrapText="0" indent="0" justifyLastLine="0" shrinkToFit="0" readingOrder="0"/>
    </dxf>
    <dxf>
      <alignment horizontal="right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</dxfs>
  <tableStyles count="0" defaultTableStyle="TableStyleMedium2" defaultPivotStyle="PivotStyleLight16"/>
  <colors>
    <mruColors>
      <color rgb="FFD8BFD8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styles" Target="styles.xml"/><Relationship Id="rId3" Type="http://purl.oclc.org/ooxml/officeDocument/relationships/worksheet" Target="worksheets/sheet3.xml"/><Relationship Id="rId21" Type="http://purl.oclc.org/ooxml/officeDocument/relationships/calcChain" Target="calcChain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theme" Target="theme/theme1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sheetMetadata" Target="metadata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19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drawings/_rels/drawing4.xml.rels><?xml version="1.0" encoding="UTF-8" standalone="yes"?>
<Relationships xmlns="http://schemas.openxmlformats.org/package/2006/relationships"><Relationship Id="rId2" Type="http://purl.oclc.org/ooxml/officeDocument/relationships/image" Target="../media/image2.png"/><Relationship Id="rId1" Type="http://purl.oclc.org/ooxml/officeDocument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purl.oclc.org/ooxml/officeDocument/relationships/image" Target="../media/image2.png"/><Relationship Id="rId1" Type="http://purl.oclc.org/ooxml/officeDocument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purl.oclc.org/ooxml/officeDocument/relationships/image" Target="../media/image2.png"/><Relationship Id="rId2" Type="http://purl.oclc.org/ooxml/officeDocument/relationships/image" Target="../media/image1.jpeg"/><Relationship Id="rId1" Type="http://purl.oclc.org/ooxml/officeDocument/relationships/image" Target="../media/image3.jp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2</xdr:col>
      <xdr:colOff>28575</xdr:colOff>
      <xdr:row>0</xdr:row>
      <xdr:rowOff>9525</xdr:rowOff>
    </xdr:from>
    <xdr:to>
      <xdr:col>3</xdr:col>
      <xdr:colOff>676275</xdr:colOff>
      <xdr:row>1</xdr:row>
      <xdr:rowOff>38100</xdr:rowOff>
    </xdr:to>
    <xdr:sp macro="" textlink="">
      <xdr:nvSpPr>
        <xdr:cNvPr id="9230" name="Button 14">
          <a:extLst>
            <a:ext uri="{63B3BB69-23CF-44E3-9099-C40C66FF867C}">
              <a14:compatExt xmlns:a14="http://schemas.microsoft.com/office/drawing/2010/main" spid="_x0000_s9230"/>
            </a:ext>
            <a:ext uri="{FF2B5EF4-FFF2-40B4-BE49-F238E27FC236}">
              <a16:creationId xmlns:a16="http://schemas.microsoft.com/office/drawing/2014/main" id="{00000000-0008-0000-0000-00000E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rPr>
            <a:t>Új rendelés</a:t>
          </a:r>
        </a:p>
        <a:p>
          <a:pPr algn="ctr" rtl="0">
            <a:defRPr sz="1000"/>
          </a:pPr>
          <a:endParaRPr lang="en-GB" sz="1100" b="0" i="0" u="none" strike="noStrike" baseline="0%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 fPrintsWithSheet="0"/>
  </xdr:twoCellAnchor>
  <xdr:twoCellAnchor editAs="oneCell">
    <xdr:from>
      <xdr:col>2</xdr:col>
      <xdr:colOff>9525</xdr:colOff>
      <xdr:row>26</xdr:row>
      <xdr:rowOff>28575</xdr:rowOff>
    </xdr:from>
    <xdr:to>
      <xdr:col>3</xdr:col>
      <xdr:colOff>657225</xdr:colOff>
      <xdr:row>26</xdr:row>
      <xdr:rowOff>257175</xdr:rowOff>
    </xdr:to>
    <xdr:sp macro="" textlink="">
      <xdr:nvSpPr>
        <xdr:cNvPr id="9253" name="Button 37">
          <a:extLst>
            <a:ext uri="{63B3BB69-23CF-44E3-9099-C40C66FF867C}">
              <a14:compatExt xmlns:a14="http://schemas.microsoft.com/office/drawing/2010/main" spid="_x0000_s9253"/>
            </a:ext>
            <a:ext uri="{FF2B5EF4-FFF2-40B4-BE49-F238E27FC236}">
              <a16:creationId xmlns:a16="http://schemas.microsoft.com/office/drawing/2014/main" id="{00000000-0008-0000-0000-000025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rPr>
            <a:t>Új Cég</a:t>
          </a:r>
        </a:p>
        <a:p>
          <a:pPr algn="ctr" rtl="0">
            <a:defRPr sz="1000"/>
          </a:pPr>
          <a:endParaRPr lang="en-GB" sz="1100" b="0" i="0" u="none" strike="noStrike" baseline="0%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 fPrintsWithSheet="0"/>
  </xdr:twoCellAnchor>
  <xdr:twoCellAnchor editAs="oneCell">
    <xdr:from>
      <xdr:col>2</xdr:col>
      <xdr:colOff>28575</xdr:colOff>
      <xdr:row>20</xdr:row>
      <xdr:rowOff>9525</xdr:rowOff>
    </xdr:from>
    <xdr:to>
      <xdr:col>3</xdr:col>
      <xdr:colOff>676275</xdr:colOff>
      <xdr:row>20</xdr:row>
      <xdr:rowOff>257175</xdr:rowOff>
    </xdr:to>
    <xdr:sp macro="" textlink="">
      <xdr:nvSpPr>
        <xdr:cNvPr id="9254" name="Button 38">
          <a:extLst>
            <a:ext uri="{63B3BB69-23CF-44E3-9099-C40C66FF867C}">
              <a14:compatExt xmlns:a14="http://schemas.microsoft.com/office/drawing/2010/main" spid="_x0000_s9254"/>
            </a:ext>
            <a:ext uri="{FF2B5EF4-FFF2-40B4-BE49-F238E27FC236}">
              <a16:creationId xmlns:a16="http://schemas.microsoft.com/office/drawing/2014/main" id="{00000000-0008-0000-0000-000026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rPr>
            <a:t>Új Termék</a:t>
          </a:r>
        </a:p>
        <a:p>
          <a:pPr algn="ctr" rtl="0">
            <a:defRPr sz="1000"/>
          </a:pPr>
          <a:endParaRPr lang="en-GB" sz="1100" b="0" i="0" u="none" strike="noStrike" baseline="0%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 fPrintsWithSheet="0"/>
  </xdr:twoCellAnchor>
</xdr:wsDr>
</file>

<file path=xl/drawings/drawing2.xml><?xml version="1.0" encoding="utf-8"?>
<xdr:wsDr xmlns:xdr="http://purl.oclc.org/ooxml/drawingml/spreadsheetDrawing" xmlns:a="http://purl.oclc.org/ooxml/drawingml/main">
  <xdr:twoCellAnchor editAs="oneCell">
    <xdr:from>
      <xdr:col>4</xdr:col>
      <xdr:colOff>0</xdr:colOff>
      <xdr:row>0</xdr:row>
      <xdr:rowOff>0</xdr:rowOff>
    </xdr:from>
    <xdr:to>
      <xdr:col>5</xdr:col>
      <xdr:colOff>828675</xdr:colOff>
      <xdr:row>1</xdr:row>
      <xdr:rowOff>0</xdr:rowOff>
    </xdr:to>
    <xdr:sp macro="" textlink="">
      <xdr:nvSpPr>
        <xdr:cNvPr id="2093" name="Button 45">
          <a:extLst>
            <a:ext uri="{63B3BB69-23CF-44E3-9099-C40C66FF867C}">
              <a14:compatExt xmlns:a14="http://schemas.microsoft.com/office/drawing/2010/main" spid="_x0000_s2093"/>
            </a:ext>
            <a:ext uri="{FF2B5EF4-FFF2-40B4-BE49-F238E27FC236}">
              <a16:creationId xmlns:a16="http://schemas.microsoft.com/office/drawing/2014/main" id="{00000000-0008-0000-0100-00002D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rPr>
            <a:t>Rendelések</a:t>
          </a:r>
        </a:p>
        <a:p>
          <a:pPr algn="ctr" rtl="0">
            <a:defRPr sz="1000"/>
          </a:pPr>
          <a:endParaRPr lang="en-GB" sz="1100" b="0" i="0" u="none" strike="noStrike" baseline="0%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 fPrintsWithSheet="0"/>
  </xdr:twoCellAnchor>
  <xdr:twoCellAnchor editAs="oneCell">
    <xdr:from>
      <xdr:col>11</xdr:col>
      <xdr:colOff>723900</xdr:colOff>
      <xdr:row>0</xdr:row>
      <xdr:rowOff>0</xdr:rowOff>
    </xdr:from>
    <xdr:to>
      <xdr:col>12</xdr:col>
      <xdr:colOff>723900</xdr:colOff>
      <xdr:row>1</xdr:row>
      <xdr:rowOff>0</xdr:rowOff>
    </xdr:to>
    <xdr:sp macro="" textlink="">
      <xdr:nvSpPr>
        <xdr:cNvPr id="2104" name="Button 56">
          <a:extLst>
            <a:ext uri="{63B3BB69-23CF-44E3-9099-C40C66FF867C}">
              <a14:compatExt xmlns:a14="http://schemas.microsoft.com/office/drawing/2010/main" spid="_x0000_s2104"/>
            </a:ext>
            <a:ext uri="{FF2B5EF4-FFF2-40B4-BE49-F238E27FC236}">
              <a16:creationId xmlns:a16="http://schemas.microsoft.com/office/drawing/2014/main" id="{00000000-0008-0000-0100-000038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rPr>
            <a:t>Szállító</a:t>
          </a:r>
        </a:p>
      </xdr:txBody>
    </xdr:sp>
    <xdr:clientData fPrintsWithSheet="0"/>
  </xdr:twoCellAnchor>
  <xdr:twoCellAnchor>
    <xdr:from>
      <xdr:col>9</xdr:col>
      <xdr:colOff>219075</xdr:colOff>
      <xdr:row>0</xdr:row>
      <xdr:rowOff>28575</xdr:rowOff>
    </xdr:from>
    <xdr:to>
      <xdr:col>9</xdr:col>
      <xdr:colOff>942975</xdr:colOff>
      <xdr:row>0</xdr:row>
      <xdr:rowOff>371475</xdr:rowOff>
    </xdr:to>
    <xdr:sp macro="" textlink="">
      <xdr:nvSpPr>
        <xdr:cNvPr id="2105" name="Button 57">
          <a:extLst>
            <a:ext uri="{63B3BB69-23CF-44E3-9099-C40C66FF867C}">
              <a14:compatExt xmlns:a14="http://schemas.microsoft.com/office/drawing/2010/main" spid="_x0000_s2105"/>
            </a:ex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rPr>
            <a:t>CMR</a:t>
          </a:r>
        </a:p>
      </xdr:txBody>
    </xdr:sp>
    <xdr:clientData fPrintsWithSheet="0"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4</xdr:col>
      <xdr:colOff>28575</xdr:colOff>
      <xdr:row>0</xdr:row>
      <xdr:rowOff>28575</xdr:rowOff>
    </xdr:from>
    <xdr:to>
      <xdr:col>5</xdr:col>
      <xdr:colOff>800100</xdr:colOff>
      <xdr:row>0</xdr:row>
      <xdr:rowOff>371475</xdr:rowOff>
    </xdr:to>
    <xdr:sp macro="" textlink="">
      <xdr:nvSpPr>
        <xdr:cNvPr id="5131" name="Button 11">
          <a:extLst>
            <a:ext uri="{63B3BB69-23CF-44E3-9099-C40C66FF867C}">
              <a14:compatExt xmlns:a14="http://schemas.microsoft.com/office/drawing/2010/main" spid="_x0000_s5131"/>
            </a:ext>
            <a:ext uri="{FF2B5EF4-FFF2-40B4-BE49-F238E27FC236}">
              <a16:creationId xmlns:a16="http://schemas.microsoft.com/office/drawing/2014/main" id="{00000000-0008-0000-0200-00000B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rPr>
            <a:t>Szállításra kész</a:t>
          </a:r>
        </a:p>
        <a:p>
          <a:pPr algn="ctr" rtl="0">
            <a:defRPr sz="1000"/>
          </a:pPr>
          <a:endParaRPr lang="en-GB" sz="1100" b="0" i="0" u="none" strike="noStrike" baseline="0%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 fPrintsWithSheet="0"/>
  </xdr:twoCellAnchor>
  <xdr:twoCellAnchor>
    <xdr:from>
      <xdr:col>8</xdr:col>
      <xdr:colOff>9525</xdr:colOff>
      <xdr:row>0</xdr:row>
      <xdr:rowOff>28575</xdr:rowOff>
    </xdr:from>
    <xdr:to>
      <xdr:col>8</xdr:col>
      <xdr:colOff>1409700</xdr:colOff>
      <xdr:row>0</xdr:row>
      <xdr:rowOff>381000</xdr:rowOff>
    </xdr:to>
    <xdr:sp macro="" textlink="">
      <xdr:nvSpPr>
        <xdr:cNvPr id="5134" name="Button 14">
          <a:extLst>
            <a:ext uri="{63B3BB69-23CF-44E3-9099-C40C66FF867C}">
              <a14:compatExt xmlns:a14="http://schemas.microsoft.com/office/drawing/2010/main" spid="_x0000_s5134"/>
            </a:ext>
            <a:ext uri="{FF2B5EF4-FFF2-40B4-BE49-F238E27FC236}">
              <a16:creationId xmlns:a16="http://schemas.microsoft.com/office/drawing/2014/main" id="{00000000-0008-0000-0200-00000E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rPr>
            <a:t>Etiket</a:t>
          </a:r>
        </a:p>
      </xdr:txBody>
    </xdr:sp>
    <xdr:clientData fPrintsWithSheet="0"/>
  </xdr:twoCellAnchor>
  <xdr:twoCellAnchor>
    <xdr:from>
      <xdr:col>9</xdr:col>
      <xdr:colOff>28575</xdr:colOff>
      <xdr:row>0</xdr:row>
      <xdr:rowOff>28575</xdr:rowOff>
    </xdr:from>
    <xdr:to>
      <xdr:col>10</xdr:col>
      <xdr:colOff>0</xdr:colOff>
      <xdr:row>0</xdr:row>
      <xdr:rowOff>371475</xdr:rowOff>
    </xdr:to>
    <xdr:sp macro="" textlink="">
      <xdr:nvSpPr>
        <xdr:cNvPr id="5135" name="Button 15">
          <a:extLst>
            <a:ext uri="{63B3BB69-23CF-44E3-9099-C40C66FF867C}">
              <a14:compatExt xmlns:a14="http://schemas.microsoft.com/office/drawing/2010/main" spid="_x0000_s5135"/>
            </a:ext>
            <a:ext uri="{FF2B5EF4-FFF2-40B4-BE49-F238E27FC236}">
              <a16:creationId xmlns:a16="http://schemas.microsoft.com/office/drawing/2014/main" id="{00000000-0008-0000-0200-00000F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%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GB" sz="110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rPr>
            <a:t>Raklap</a:t>
          </a:r>
        </a:p>
      </xdr:txBody>
    </xdr:sp>
    <xdr:clientData fPrintsWithSheet="0"/>
  </xdr:twoCellAnchor>
</xdr:wsDr>
</file>

<file path=xl/drawings/drawing4.xml><?xml version="1.0" encoding="utf-8"?>
<xdr:wsDr xmlns:xdr="http://purl.oclc.org/ooxml/drawingml/spreadsheetDrawing" xmlns:a="http://purl.oclc.org/ooxml/drawingml/main">
  <xdr:oneCellAnchor>
    <xdr:from>
      <xdr:col>1</xdr:col>
      <xdr:colOff>734446</xdr:colOff>
      <xdr:row>41</xdr:row>
      <xdr:rowOff>0</xdr:rowOff>
    </xdr:from>
    <xdr:ext cx="901974" cy="858620"/>
    <xdr:pic>
      <xdr:nvPicPr>
        <xdr:cNvPr id="3" name="Kép 7" descr="ISO_9001-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863" y="9715500"/>
          <a:ext cx="901974" cy="858620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195579</xdr:colOff>
      <xdr:row>0</xdr:row>
      <xdr:rowOff>73660</xdr:rowOff>
    </xdr:from>
    <xdr:ext cx="5887343" cy="1397423"/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purl.oclc.org/ooxml/officeDocument/relationships" r:embed="rId2"/>
        <a:srcRect t="5.159%" b="5.984%"/>
        <a:stretch/>
      </xdr:blipFill>
      <xdr:spPr>
        <a:xfrm>
          <a:off x="692996" y="73660"/>
          <a:ext cx="5887343" cy="13974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purl.oclc.org/ooxml/drawingml/spreadsheetDrawing" xmlns:a="http://purl.oclc.org/ooxml/drawingml/main">
  <xdr:oneCellAnchor>
    <xdr:from>
      <xdr:col>1</xdr:col>
      <xdr:colOff>734446</xdr:colOff>
      <xdr:row>41</xdr:row>
      <xdr:rowOff>0</xdr:rowOff>
    </xdr:from>
    <xdr:ext cx="901974" cy="858620"/>
    <xdr:pic>
      <xdr:nvPicPr>
        <xdr:cNvPr id="3" name="Kép 7" descr="ISO_9001-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9746" y="10029825"/>
          <a:ext cx="901974" cy="858620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195579</xdr:colOff>
      <xdr:row>0</xdr:row>
      <xdr:rowOff>73660</xdr:rowOff>
    </xdr:from>
    <xdr:ext cx="5887343" cy="1397423"/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 rotWithShape="1">
        <a:blip xmlns:r="http://purl.oclc.org/ooxml/officeDocument/relationships" r:embed="rId2"/>
        <a:srcRect t="5.159%" b="5.984%"/>
        <a:stretch/>
      </xdr:blipFill>
      <xdr:spPr>
        <a:xfrm>
          <a:off x="690879" y="73660"/>
          <a:ext cx="5887343" cy="13974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purl.oclc.org/ooxml/drawingml/spreadsheetDrawing" xmlns:a="http://purl.oclc.org/ooxml/drawingml/main">
  <xdr:oneCellAnchor>
    <xdr:from>
      <xdr:col>1</xdr:col>
      <xdr:colOff>0</xdr:colOff>
      <xdr:row>38</xdr:row>
      <xdr:rowOff>29377</xdr:rowOff>
    </xdr:from>
    <xdr:ext cx="2115782" cy="644663"/>
    <xdr:pic>
      <xdr:nvPicPr>
        <xdr:cNvPr id="2" name="Kép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268377"/>
          <a:ext cx="2115782" cy="644663"/>
        </a:xfrm>
        <a:prstGeom prst="rect">
          <a:avLst/>
        </a:prstGeom>
      </xdr:spPr>
    </xdr:pic>
    <xdr:clientData/>
  </xdr:oneCellAnchor>
  <xdr:oneCellAnchor>
    <xdr:from>
      <xdr:col>6</xdr:col>
      <xdr:colOff>512197</xdr:colOff>
      <xdr:row>47</xdr:row>
      <xdr:rowOff>37658</xdr:rowOff>
    </xdr:from>
    <xdr:ext cx="919613" cy="858621"/>
    <xdr:pic>
      <xdr:nvPicPr>
        <xdr:cNvPr id="3" name="Kép 7" descr="ISO_9001-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purl.oclc.org/ooxml/officeDocument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9797" y="8991158"/>
          <a:ext cx="919613" cy="858621"/>
        </a:xfrm>
        <a:prstGeom prst="rect">
          <a:avLst/>
        </a:prstGeom>
        <a:noFill/>
      </xdr:spPr>
    </xdr:pic>
    <xdr:clientData/>
  </xdr:oneCellAnchor>
  <xdr:oneCellAnchor>
    <xdr:from>
      <xdr:col>0</xdr:col>
      <xdr:colOff>416837</xdr:colOff>
      <xdr:row>0</xdr:row>
      <xdr:rowOff>45437</xdr:rowOff>
    </xdr:from>
    <xdr:ext cx="7104704" cy="1654952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 rotWithShape="1">
        <a:blip xmlns:r="http://purl.oclc.org/ooxml/officeDocument/relationships" r:embed="rId3"/>
        <a:srcRect t="5.159%" b="5.984%"/>
        <a:stretch/>
      </xdr:blipFill>
      <xdr:spPr>
        <a:xfrm>
          <a:off x="416837" y="45437"/>
          <a:ext cx="7104704" cy="165495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6" xr:uid="{B1D09E3F-8A61-41DB-ADDC-FD3849A29CD2}" name="Rendeles_felvetel" displayName="Rendeles_felvetel" ref="A3:J11" totalsRowShown="0" dataDxfId="81" tableBorderDxfId="80">
  <tableColumns count="10">
    <tableColumn id="1" xr3:uid="{19EA46C2-D139-44ED-BFF7-B94E75F1E56B}" name="Customer" dataDxfId="79"/>
    <tableColumn id="2" xr3:uid="{9F3309B6-A397-4F79-8479-1C062E6B8F77}" name="Termék neve" dataDxfId="78"/>
    <tableColumn id="3" xr3:uid="{A2AC3380-3E5E-45AA-AD31-3BD0EC6C19F7}" name="Megnevezése" dataDxfId="77"/>
    <tableColumn id="4" xr3:uid="{D3C3E389-9E3F-4E79-A0C3-D884A7FC53CE}" name="Megjegyzés" dataDxfId="76"/>
    <tableColumn id="5" xr3:uid="{4AE62523-62C0-43DF-AACD-42939F773CD4}" name="Saját rendelési szám" dataDxfId="75"/>
    <tableColumn id="6" xr3:uid="{0BA58752-B9E0-4D09-AE98-60D5146824D6}" name="Anyag" dataDxfId="74">
      <calculatedColumnFormula>IFERROR(IF(_xlfn.XLOOKUP(B4,Terméklista!$B$2:$B$103,Terméklista!$G$2:$G$103)="","",_xlfn.XLOOKUP(B4,Terméklista!$B$2:$B$103,Terméklista!$G$2:$G$103)),"")</calculatedColumnFormula>
    </tableColumn>
    <tableColumn id="7" xr3:uid="{48C878B2-F1FA-4C15-9D94-FAFD9EEE014F}" name="Rendelési szám" dataDxfId="73"/>
    <tableColumn id="8" xr3:uid="{A4CBE8B7-4620-48B4-9DCD-80F60B016645}" name="Amount/pc" dataDxfId="72"/>
    <tableColumn id="9" xr3:uid="{2343E9DA-B0A0-4EA6-AFA9-98762938C501}" name="Order date (y/m/)" dataDxfId="71"/>
    <tableColumn id="10" xr3:uid="{5E93DD8F-A303-4A20-9E66-07503277672A}" name="Required delivery date (y/m/d)" dataDxfId="70"/>
  </tableColumns>
  <tableStyleInfo name="TableStyleMedium2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ndelés" displayName="Rendelés" ref="A2:U115" tableBorderDxfId="109">
  <autoFilter ref="A2:U115" xr:uid="{00000000-0009-0000-0100-000003000000}">
    <filterColumn colId="11">
      <filters blank="1"/>
    </filterColumn>
  </autoFilter>
  <sortState xmlns:xlrd2="http://schemas.microsoft.com/office/spreadsheetml/2017/richdata2" ref="A3:U91">
    <sortCondition ref="I2:I91"/>
  </sortState>
  <tableColumns count="21">
    <tableColumn id="1" xr3:uid="{00000000-0010-0000-0000-000001000000}" name="Customer" totalsRowLabel="Összeg"/>
    <tableColumn id="2" xr3:uid="{00000000-0010-0000-0000-000002000000}" name="Termék neve" dataDxfId="108" totalsRowDxfId="107"/>
    <tableColumn id="3" xr3:uid="{00000000-0010-0000-0000-000003000000}" name="Megnevezése" dataDxfId="106" totalsRowDxfId="105">
      <calculatedColumnFormula>IFERROR(_xlfn.XLOOKUP(B3,Terméklista!$B$2:$B$103,Terméklista!$C$2:$C$103,)," ")</calculatedColumnFormula>
    </tableColumn>
    <tableColumn id="4" xr3:uid="{00000000-0010-0000-0000-000004000000}" name="Megjegyzés" dataDxfId="104" totalsRowDxfId="103"/>
    <tableColumn id="5" xr3:uid="{00000000-0010-0000-0000-000005000000}" name="Saját rendelési szám"/>
    <tableColumn id="6" xr3:uid="{00000000-0010-0000-0000-000006000000}" name="Anyag" dataDxfId="102" totalsRowDxfId="101">
      <calculatedColumnFormula>_xlfn.XLOOKUP(B3,Terméklista!B2:B103,Terméklista!G2:G103," ")</calculatedColumnFormula>
    </tableColumn>
    <tableColumn id="7" xr3:uid="{00000000-0010-0000-0000-000007000000}" name="Rendelési szám" dataDxfId="100"/>
    <tableColumn id="8" xr3:uid="{00000000-0010-0000-0000-000008000000}" name="Amount/pc" dataDxfId="99" totalsRowDxfId="98"/>
    <tableColumn id="9" xr3:uid="{00000000-0010-0000-0000-000009000000}" name="Order date (year/month/day)" dataDxfId="97"/>
    <tableColumn id="10" xr3:uid="{00000000-0010-0000-0000-00000A000000}" name="Required delivery date (year/month/day)" dataDxfId="96"/>
    <tableColumn id="11" xr3:uid="{00000000-0010-0000-0000-00000B000000}" name="Actual pickup date (year/month/day)" dataDxfId="95" totalsRowDxfId="94"/>
    <tableColumn id="12" xr3:uid="{00000000-0010-0000-0000-00000C000000}" name="Számlázva_x000a_(x)" dataDxfId="93" totalsRowDxfId="92"/>
    <tableColumn id="18" xr3:uid="{00000000-0010-0000-0000-000012000000}" name="Szállításra kész" dataDxfId="91" totalsRowDxfId="90"/>
    <tableColumn id="13" xr3:uid="{00000000-0010-0000-0000-00000D000000}" name="Felületkezelés" dataDxfId="89">
      <calculatedColumnFormula>IFERROR(_xlfn.XLOOKUP(B3,Terméklista!B2:B103,Terméklista!H2:H103)," ")</calculatedColumnFormula>
    </tableColumn>
    <tableColumn id="19" xr3:uid="{00000000-0010-0000-0000-000013000000}" name="Dobozok száma" dataDxfId="88" totalsRowDxfId="87">
      <calculatedColumnFormula>IFERROR(ROUNDUP(Rendelés[[#This Row],[Amount/pc]]/_xlfn.XLOOKUP(B3,Terméklista!$B$2:$B$103,Terméklista!$M$2:$M$103,),0)," ")</calculatedColumnFormula>
    </tableColumn>
    <tableColumn id="14" xr3:uid="{00000000-0010-0000-0000-00000E000000}" name="Össz raklapok száma" dataDxfId="86">
      <calculatedColumnFormula>IFERROR(ROUNDUP(Rendelés[[#This Row],[Dobozok száma]]/_xlfn.XLOOKUP(B3,Terméklista!$B$2:$B$103,Terméklista!$N$2:$N$103,),0)," ")</calculatedColumnFormula>
    </tableColumn>
    <tableColumn id="15" xr3:uid="{00000000-0010-0000-0000-00000F000000}" name="Össz bruttó súly" dataDxfId="85">
      <calculatedColumnFormula>IFERROR(Rendelés[[#This Row],[Szükséges anyagmennyiség]]+(Rendelés[[#This Row],[Össz raklapok száma]]*25),"")</calculatedColumnFormula>
    </tableColumn>
    <tableColumn id="16" xr3:uid="{00000000-0010-0000-0000-000010000000}" name="Szükséges anyagmennyiség" dataDxfId="84">
      <calculatedColumnFormula array="1">(H3*_xlfn.XLOOKUP(B3,Terméklista!$B$2:$B$103,Terméklista!F$2:$F$103,))/1000</calculatedColumnFormula>
    </tableColumn>
    <tableColumn id="17" xr3:uid="{00000000-0010-0000-0000-000011000000}" name="Tervezett gyártási idő" totalsRowFunction="count" dataDxfId="83">
      <calculatedColumnFormula>IFERROR(((H3/_xlfn.XLOOKUP(B3,Terméklista!$B$2:$B$103,Terméklista!$E$2:$E$103)*_xlfn.XLOOKUP(B3,Terméklista!$B$2:$B$103,Terméklista!$I$2:$I$103)))/3600," ")</calculatedColumnFormula>
    </tableColumn>
    <tableColumn id="20" xr3:uid="{00000000-0010-0000-0000-000014000000}" name="Szállítólevél"/>
    <tableColumn id="21" xr3:uid="{00000000-0010-0000-0000-000015000000}" name="Státusz" dataDxfId="82"/>
  </tableColumns>
  <tableStyleInfo name="TableStyleLight12" showFirstColumn="1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áblázat4" displayName="Táblázat4" ref="A2:Y22" totalsRowShown="0">
  <autoFilter ref="A2:Y22" xr:uid="{00000000-0009-0000-0100-000004000000}"/>
  <sortState xmlns:xlrd2="http://schemas.microsoft.com/office/spreadsheetml/2017/richdata2" ref="A2:Y2">
    <sortCondition ref="A2"/>
  </sortState>
  <tableColumns count="25">
    <tableColumn id="1" xr3:uid="{00000000-0010-0000-0100-000001000000}" name="Customer"/>
    <tableColumn id="2" xr3:uid="{00000000-0010-0000-0100-000002000000}" name="Termék neve" dataDxfId="69"/>
    <tableColumn id="3" xr3:uid="{00000000-0010-0000-0100-000003000000}" name="Megnevezése" dataDxfId="68"/>
    <tableColumn id="4" xr3:uid="{00000000-0010-0000-0100-000004000000}" name="Megjegyzés" dataDxfId="67"/>
    <tableColumn id="5" xr3:uid="{00000000-0010-0000-0100-000005000000}" name="Saját rendelési szám" dataDxfId="66"/>
    <tableColumn id="6" xr3:uid="{00000000-0010-0000-0100-000006000000}" name="Anyag" dataDxfId="65"/>
    <tableColumn id="7" xr3:uid="{00000000-0010-0000-0100-000007000000}" name="Mennyiség" dataDxfId="64"/>
    <tableColumn id="8" xr3:uid="{00000000-0010-0000-0100-000008000000}" name="Required delivery date (year/month/day)" dataDxfId="63"/>
    <tableColumn id="9" xr3:uid="{00000000-0010-0000-0100-000009000000}" name="Felületkezelés" dataDxfId="62">
      <calculatedColumnFormula>IFERROR(_xlfn.XLOOKUP(B3,Terméklista!$B$6:$B$105,Terméklista!$H$6:$H$105)," ")</calculatedColumnFormula>
    </tableColumn>
    <tableColumn id="10" xr3:uid="{00000000-0010-0000-0100-00000A000000}" name="Szállításra kész" dataDxfId="61"/>
    <tableColumn id="11" xr3:uid="{00000000-0010-0000-0100-00000B000000}" name="Össz dobozok száma db"/>
    <tableColumn id="12" xr3:uid="{00000000-0010-0000-0100-00000C000000}" name="Össz raklapok száma"/>
    <tableColumn id="13" xr3:uid="{00000000-0010-0000-0100-00000D000000}" name="Össz nettó súly"/>
    <tableColumn id="14" xr3:uid="{00000000-0010-0000-0100-00000E000000}" name="Össz bruttó súly">
      <calculatedColumnFormula>IFERROR(M3+(L3*30),"")</calculatedColumnFormula>
    </tableColumn>
    <tableColumn id="15" xr3:uid="{00000000-0010-0000-0100-00000F000000}" name="címke adatok/doboz_x000a_doboz: termék darab, dátum"/>
    <tableColumn id="16" xr3:uid="{00000000-0010-0000-0100-000010000000}" name="milyen utómunka kell pl mosás (M), sorjázás (S), koptatás (K) válogatás (V) kézi tördelés (KT) (felsorolás)"/>
    <tableColumn id="17" xr3:uid="{00000000-0010-0000-0100-000011000000}" name="Utómunka fele kész_x000a_(x)"/>
    <tableColumn id="18" xr3:uid="{00000000-0010-0000-0100-000012000000}" name="Utómunka kész_x000a_(x)"/>
    <tableColumn id="19" xr3:uid="{00000000-0010-0000-0100-000013000000}" name="MEO megtörtént_x000a_(x)"/>
    <tableColumn id="20" xr3:uid="{00000000-0010-0000-0100-000014000000}" name="Selejt %"/>
    <tableColumn id="21" xr3:uid="{00000000-0010-0000-0100-000015000000}" name="Mérés &amp; Dobozolás kész_x000a_(x)"/>
    <tableColumn id="22" xr3:uid="{00000000-0010-0000-0100-000016000000}" name="Szállítható (dátum)"/>
    <tableColumn id="23" xr3:uid="{00000000-0010-0000-0100-000017000000}" name="Várható késés _x000a_(x)"/>
    <tableColumn id="25" xr3:uid="{00000000-0010-0000-0100-000019000000}" name="Új időpont késés esetén"/>
    <tableColumn id="24" xr3:uid="{00000000-0010-0000-0100-000018000000}" name="rendelési szám"/>
  </tableColumns>
  <tableStyleInfo name="TableStyleMedium7" showFirstColumn="0" showLastColumn="0" showRowStripes="1" showColumnStripes="0"/>
</table>
</file>

<file path=xl/tables/table4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Alkatrészek" displayName="Alkatrészek" ref="A1:Q100" totalsRowShown="0" headerRowDxfId="60" headerRowBorderDxfId="59" tableBorderDxfId="58">
  <autoFilter ref="A1:Q100" xr:uid="{00000000-0009-0000-0100-000002000000}"/>
  <tableColumns count="17">
    <tableColumn id="1" xr3:uid="{00000000-0010-0000-0200-000001000000}" name="Ügyfél" dataDxfId="57"/>
    <tableColumn id="2" xr3:uid="{00000000-0010-0000-0200-000002000000}" name="Termék rajzszáma" dataDxfId="56"/>
    <tableColumn id="3" xr3:uid="{00000000-0010-0000-0200-000003000000}" name="Termék megnevezés" dataDxfId="55"/>
    <tableColumn id="4" xr3:uid="{00000000-0010-0000-0200-000004000000}" name="Megjegyzés" dataDxfId="54"/>
    <tableColumn id="5" xr3:uid="{00000000-0010-0000-0200-000005000000}" name="Fészekszáma" dataDxfId="53"/>
    <tableColumn id="6" xr3:uid="{00000000-0010-0000-0200-000006000000}" name="Súly/db g" dataDxfId="52"/>
    <tableColumn id="7" xr3:uid="{00000000-0010-0000-0200-000007000000}" name="Anyag" dataDxfId="51"/>
    <tableColumn id="12" xr3:uid="{00000000-0010-0000-0200-00000C000000}" name="Felületkezelés" dataDxfId="50"/>
    <tableColumn id="8" xr3:uid="{00000000-0010-0000-0200-000008000000}" name="Ciklus idő" dataDxfId="49"/>
    <tableColumn id="15" xr3:uid="{00000000-0010-0000-0200-00000F000000}" name="Utómunka idő" dataDxfId="48"/>
    <tableColumn id="16" xr3:uid="{00000000-0010-0000-0200-000010000000}" name="Utómunkák" dataDxfId="47"/>
    <tableColumn id="9" xr3:uid="{00000000-0010-0000-0200-000009000000}" name="Doboz méret" dataDxfId="46"/>
    <tableColumn id="10" xr3:uid="{00000000-0010-0000-0200-00000A000000}" name="Doboz/db" dataDxfId="45"/>
    <tableColumn id="11" xr3:uid="{00000000-0010-0000-0200-00000B000000}" name="Doboz/Raklap" dataDxfId="44"/>
    <tableColumn id="14" xr3:uid="{00000000-0010-0000-0200-00000E000000}" name="Arktikál nr." dataDxfId="43"/>
    <tableColumn id="13" xr3:uid="{00000000-0010-0000-0200-00000D000000}" name="Raktár" dataDxfId="42"/>
    <tableColumn id="17" xr3:uid="{AC3508D2-CCA7-401B-A468-239C9AEDBE94}" name="Engusz súly" dataDxfId="41"/>
  </tableColumns>
  <tableStyleInfo name="TableStyleMedium7" showFirstColumn="0" showLastColumn="0" showRowStripes="1" showColumnStripes="0"/>
</table>
</file>

<file path=xl/tables/table5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Cégek" displayName="Cégek" ref="A1:I13" totalsRowShown="0" headerRowDxfId="40" dataDxfId="39">
  <autoFilter ref="A1:I13" xr:uid="{00000000-000C-0000-FFFF-FFFF03000000}"/>
  <tableColumns count="9">
    <tableColumn id="1" xr3:uid="{00000000-0010-0000-0300-000001000000}" name="Vevő név" dataDxfId="38"/>
    <tableColumn id="2" xr3:uid="{00000000-0010-0000-0300-000002000000}" name="Szállító Nyelve" dataDxfId="37"/>
    <tableColumn id="3" xr3:uid="{8CF306FF-6CE0-4AA0-9AE9-B134A4BB0CA8}" name="Város" dataDxfId="36"/>
    <tableColumn id="4" xr3:uid="{863A328D-E911-42B6-B27D-B8E73F49F7C7}" name="Irányítószám" dataDxfId="35"/>
    <tableColumn id="5" xr3:uid="{CB150F67-53FF-4720-ADE1-947C171BB87B}" name="Utca, házszám" dataDxfId="34"/>
    <tableColumn id="6" xr3:uid="{7567B132-5705-4998-90B1-0A148652782A}" name="Ország" dataDxfId="33"/>
    <tableColumn id="7" xr3:uid="{F4D3628F-F91C-4C73-80C8-A4A39AB347C9}" name="Cím" dataDxfId="32">
      <calculatedColumnFormula>CONCATENATE(D2," ",C2,", ",E2)</calculatedColumnFormula>
    </tableColumn>
    <tableColumn id="8" xr3:uid="{CFF5DE1D-EAC6-4C61-A46A-C91D73A999A7}" name="Adószám" dataDxfId="31"/>
    <tableColumn id="9" xr3:uid="{5CB3613E-6DF6-43DA-BAC2-ECB2352ADE6A}" name="Vevő név2" dataDxfId="30"/>
  </tableColumns>
  <tableStyleInfo name="TableStyleLight21" showFirstColumn="1" showLastColumn="0" showRowStripes="1" showColumnStripes="0"/>
</table>
</file>

<file path=xl/tables/table6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Árak" displayName="Árak" ref="A3:M72" totalsRowCount="1" headerRowDxfId="29" headerRowBorderDxfId="28" tableBorderDxfId="27" totalsRowBorderDxfId="26" headerRowCellStyle="Standard_08.06.16-PB-Magma Preise KW24 bei 220">
  <autoFilter ref="A3:M71" xr:uid="{00000000-0009-0000-0100-000005000000}"/>
  <tableColumns count="13">
    <tableColumn id="1" xr3:uid="{00000000-0010-0000-0400-000001000000}" name="Product" dataDxfId="25" totalsRowDxfId="24" dataCellStyle="Normál 4"/>
    <tableColumn id="2" xr3:uid="{00000000-0010-0000-0400-000002000000}" name="Artikel Bezeichnung " dataDxfId="23" totalsRowDxfId="22" dataCellStyle="Standard_08.06.16-PB-Magma Preise KW24 bei 220"/>
    <tableColumn id="3" xr3:uid="{00000000-0010-0000-0400-000003000000}" name="Gewicht / g" dataDxfId="21" totalsRowDxfId="20" dataCellStyle="Standard_08.06.16-PB-Magma Preise KW24 bei 220"/>
    <tableColumn id="4" xr3:uid="{00000000-0010-0000-0400-000004000000}" name="Abbrand    5 %                   " dataDxfId="19" totalsRowDxfId="18" dataCellStyle="Pénznem 2">
      <calculatedColumnFormula>H4*0.06</calculatedColumnFormula>
    </tableColumn>
    <tableColumn id="5" xr3:uid="{00000000-0010-0000-0400-000005000000}" name="MPB   kg        €" dataDxfId="17" totalsRowDxfId="16" dataCellStyle="Pénznem 2"/>
    <tableColumn id="6" xr3:uid="{00000000-0010-0000-0400-000006000000}" name="aktueller MP  kg          €" dataDxfId="15" totalsRowDxfId="14" dataCellStyle="Pénznem 2"/>
    <tableColumn id="7" xr3:uid="{00000000-0010-0000-0400-000007000000}" name="Grund    preis  100 Stück €" dataDxfId="13" totalsRowDxfId="12" dataCellStyle="Pénznem 2"/>
    <tableColumn id="8" xr3:uid="{00000000-0010-0000-0400-000008000000}" name="Diff. durch MP per kg   € " dataDxfId="11" totalsRowDxfId="10" dataCellStyle="Pénznem 2">
      <calculatedColumnFormula>F4-E4</calculatedColumnFormula>
    </tableColumn>
    <tableColumn id="9" xr3:uid="{00000000-0010-0000-0400-000009000000}" name="Diff+Ab-brand /kg        € " dataDxfId="9" totalsRowDxfId="8" dataCellStyle="Pénznem 2">
      <calculatedColumnFormula>H4+D4</calculatedColumnFormula>
    </tableColumn>
    <tableColumn id="10" xr3:uid="{00000000-0010-0000-0400-00000A000000}" name="Preis-Diff./  100 Stück   €" dataDxfId="7" totalsRowDxfId="6" dataCellStyle="Pénznem 2">
      <calculatedColumnFormula>C4*I4/1000*100</calculatedColumnFormula>
    </tableColumn>
    <tableColumn id="11" xr3:uid="{00000000-0010-0000-0400-00000B000000}" name="Preis-einheit  " dataDxfId="5" totalsRowDxfId="4" dataCellStyle="Standard_08.06.16-PB-Magma Preise KW24 bei 220"/>
    <tableColumn id="12" xr3:uid="{00000000-0010-0000-0400-00000C000000}" name="Aktueller Preis /   100 Stück    € " dataDxfId="3" totalsRowDxfId="2" dataCellStyle="Pénznem 2">
      <calculatedColumnFormula>G4+J4</calculatedColumnFormula>
    </tableColumn>
    <tableColumn id="13" xr3:uid="{00000000-0010-0000-0400-00000D000000}" name="Aktueller Preis /  1 Stück    € " dataDxfId="1" totalsRowDxfId="0" dataCellStyle="Standard_08.06.16-PB-Magma Preise KW24 bei 220">
      <calculatedColumnFormula>L4/100</calculatedColumnFormula>
    </tableColumn>
  </tableColumns>
  <tableStyleInfo name="TableStyleMedium20" showFirstColumn="0" showLastColumn="0" showRowStripes="1" showColumnStripes="0"/>
</table>
</file>

<file path=xl/theme/theme1.xml><?xml version="1.0" encoding="utf-8"?>
<a:theme xmlns:a="http://purl.oclc.org/ooxml/drawingml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purl.oclc.org/ooxml/officeDocument/relationships/table" Target="../tables/table1.xml"/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purl.oclc.org/ooxml/officeDocument/relationships/table" Target="../tables/table2.xml"/><Relationship Id="rId2" Type="http://purl.oclc.org/ooxml/officeDocument/relationships/drawing" Target="../drawings/drawing2.xml"/><Relationship Id="rId1" Type="http://purl.oclc.org/ooxml/officeDocument/relationships/printerSettings" Target="../printerSettings/printerSettings2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purl.oclc.org/ooxml/officeDocument/relationships/table" Target="../tables/table3.xml"/><Relationship Id="rId2" Type="http://purl.oclc.org/ooxml/officeDocument/relationships/drawing" Target="../drawings/drawing3.xml"/><Relationship Id="rId1" Type="http://purl.oclc.org/ooxml/officeDocument/relationships/printerSettings" Target="../printerSettings/printerSettings3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2" Type="http://purl.oclc.org/ooxml/officeDocument/relationships/table" Target="../tables/table4.xml"/><Relationship Id="rId1" Type="http://purl.oclc.org/ooxml/officeDocument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purl.oclc.org/ooxml/officeDocument/relationships/drawing" Target="../drawings/drawing4.xml"/><Relationship Id="rId1" Type="http://purl.oclc.org/ooxml/officeDocument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purl.oclc.org/ooxml/officeDocument/relationships/drawing" Target="../drawings/drawing5.xml"/><Relationship Id="rId1" Type="http://purl.oclc.org/ooxml/officeDocument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purl.oclc.org/ooxml/officeDocument/relationships/drawing" Target="../drawings/drawing6.xml"/><Relationship Id="rId1" Type="http://purl.oclc.org/ooxml/officeDocument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purl.oclc.org/ooxml/officeDocument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1.bin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FF05-8760-49BE-8B0B-07CC2D71F53B}">
  <sheetPr codeName="Munka14"/>
  <dimension ref="A1:Q30"/>
  <sheetViews>
    <sheetView zoomScale="130" zoomScaleNormal="130" workbookViewId="0">
      <selection activeCell="C12" sqref="C12"/>
    </sheetView>
  </sheetViews>
  <sheetFormatPr defaultColWidth="8.85546875" defaultRowHeight="15"/>
  <cols>
    <col min="1" max="1" width="20.28515625" bestFit="1" customWidth="1"/>
    <col min="2" max="2" width="20.28515625" customWidth="1"/>
    <col min="3" max="3" width="19.42578125" bestFit="1" customWidth="1"/>
    <col min="4" max="4" width="14" customWidth="1"/>
    <col min="5" max="5" width="18.42578125" customWidth="1"/>
    <col min="6" max="6" width="11.42578125" bestFit="1" customWidth="1"/>
    <col min="7" max="7" width="17.28515625" customWidth="1"/>
    <col min="8" max="8" width="14.140625" bestFit="1" customWidth="1"/>
    <col min="9" max="9" width="16.42578125" customWidth="1"/>
    <col min="10" max="10" width="26.42578125" customWidth="1"/>
    <col min="11" max="11" width="11.28515625" bestFit="1" customWidth="1"/>
    <col min="12" max="12" width="12.42578125" bestFit="1" customWidth="1"/>
    <col min="13" max="13" width="9.7109375" bestFit="1" customWidth="1"/>
    <col min="14" max="14" width="13.42578125" bestFit="1" customWidth="1"/>
    <col min="15" max="15" width="10.7109375" bestFit="1" customWidth="1"/>
    <col min="16" max="16" width="6.42578125" bestFit="1" customWidth="1"/>
    <col min="17" max="17" width="11" bestFit="1" customWidth="1"/>
  </cols>
  <sheetData>
    <row r="1" spans="1:10" s="35" customFormat="1" ht="16.5" customHeight="1">
      <c r="A1" s="359" t="s">
        <v>531</v>
      </c>
      <c r="B1" s="360" t="s">
        <v>508</v>
      </c>
    </row>
    <row r="2" spans="1:10" ht="8.25" customHeight="1"/>
    <row r="3" spans="1:10" ht="23.25" customHeight="1">
      <c r="A3" s="130" t="s">
        <v>44</v>
      </c>
      <c r="B3" s="130" t="s">
        <v>194</v>
      </c>
      <c r="C3" s="130" t="s">
        <v>199</v>
      </c>
      <c r="D3" s="130" t="s">
        <v>0</v>
      </c>
      <c r="E3" s="131" t="s">
        <v>196</v>
      </c>
      <c r="F3" s="130" t="s">
        <v>80</v>
      </c>
      <c r="G3" s="132" t="s">
        <v>195</v>
      </c>
      <c r="H3" s="149" t="s">
        <v>45</v>
      </c>
      <c r="I3" s="135" t="s">
        <v>533</v>
      </c>
      <c r="J3" s="135" t="s">
        <v>534</v>
      </c>
    </row>
    <row r="4" spans="1:10" s="35" customFormat="1" ht="23.25" customHeight="1">
      <c r="A4" s="351"/>
      <c r="B4" s="352"/>
      <c r="C4" s="352"/>
      <c r="D4" s="352"/>
      <c r="E4" s="352"/>
      <c r="F4" s="352" t="str">
        <f>IFERROR(IF(_xlfn.XLOOKUP(B4,Terméklista!$B$2:$B$103,Terméklista!$G$2:$G$103)="","",_xlfn.XLOOKUP(B4,Terméklista!$B$2:$B$103,Terméklista!$G$2:$G$103)),"")</f>
        <v/>
      </c>
      <c r="G4" s="353"/>
      <c r="H4" s="354"/>
      <c r="I4" s="355"/>
      <c r="J4" s="355"/>
    </row>
    <row r="5" spans="1:10" s="35" customFormat="1" ht="23.25" customHeight="1">
      <c r="A5" s="351"/>
      <c r="B5" s="352"/>
      <c r="C5" s="352"/>
      <c r="D5" s="352"/>
      <c r="E5" s="352"/>
      <c r="F5" s="352" t="str">
        <f>IFERROR(IF(_xlfn.XLOOKUP(B5,Terméklista!$B$2:$B$103,Terméklista!$G$2:$G$103)="","",_xlfn.XLOOKUP(B5,Terméklista!$B$2:$B$103,Terméklista!$G$2:$G$103)),"")</f>
        <v/>
      </c>
      <c r="G5" s="353"/>
      <c r="H5" s="354"/>
      <c r="I5" s="355"/>
      <c r="J5" s="355"/>
    </row>
    <row r="6" spans="1:10" s="35" customFormat="1" ht="23.25" customHeight="1">
      <c r="A6" s="351"/>
      <c r="B6" s="352"/>
      <c r="C6" s="352"/>
      <c r="D6" s="352"/>
      <c r="E6" s="352"/>
      <c r="F6" s="352" t="str">
        <f>IFERROR(IF(_xlfn.XLOOKUP(B6,Terméklista!$B$2:$B$103,Terméklista!$G$2:$G$103)="","",_xlfn.XLOOKUP(B6,Terméklista!$B$2:$B$103,Terméklista!$G$2:$G$103)),"")</f>
        <v/>
      </c>
      <c r="G6" s="353"/>
      <c r="H6" s="354"/>
      <c r="I6" s="355"/>
      <c r="J6" s="355"/>
    </row>
    <row r="7" spans="1:10" s="35" customFormat="1" ht="23.25" customHeight="1">
      <c r="A7" s="351"/>
      <c r="B7" s="352"/>
      <c r="C7" s="352"/>
      <c r="D7" s="352"/>
      <c r="E7" s="352"/>
      <c r="F7" s="352" t="str">
        <f>IFERROR(IF(_xlfn.XLOOKUP(B7,Terméklista!$B$2:$B$103,Terméklista!$G$2:$G$103)="","",_xlfn.XLOOKUP(B7,Terméklista!$B$2:$B$103,Terméklista!$G$2:$G$103)),"")</f>
        <v/>
      </c>
      <c r="G7" s="353"/>
      <c r="H7" s="354"/>
      <c r="I7" s="355"/>
      <c r="J7" s="355"/>
    </row>
    <row r="8" spans="1:10" s="35" customFormat="1" ht="23.25" customHeight="1">
      <c r="A8" s="351"/>
      <c r="B8" s="352"/>
      <c r="C8" s="352"/>
      <c r="D8" s="352"/>
      <c r="E8" s="352"/>
      <c r="F8" s="352" t="str">
        <f>IFERROR(IF(_xlfn.XLOOKUP(B8,Terméklista!$B$2:$B$103,Terméklista!$G$2:$G$103)="","",_xlfn.XLOOKUP(B8,Terméklista!$B$2:$B$103,Terméklista!$G$2:$G$103)),"")</f>
        <v/>
      </c>
      <c r="G8" s="353"/>
      <c r="H8" s="354"/>
      <c r="I8" s="355"/>
      <c r="J8" s="355"/>
    </row>
    <row r="9" spans="1:10" s="35" customFormat="1" ht="23.25" customHeight="1">
      <c r="A9" s="351"/>
      <c r="B9" s="352"/>
      <c r="C9" s="352"/>
      <c r="D9" s="352"/>
      <c r="E9" s="352"/>
      <c r="F9" s="352" t="str">
        <f>IFERROR(IF(_xlfn.XLOOKUP(B9,Terméklista!$B$2:$B$103,Terméklista!$G$2:$G$103)="","",_xlfn.XLOOKUP(B9,Terméklista!$B$2:$B$103,Terméklista!$G$2:$G$103)),"")</f>
        <v/>
      </c>
      <c r="G9" s="353"/>
      <c r="H9" s="354"/>
      <c r="I9" s="355"/>
      <c r="J9" s="355"/>
    </row>
    <row r="10" spans="1:10" s="35" customFormat="1" ht="23.25" customHeight="1">
      <c r="A10" s="351"/>
      <c r="B10" s="352"/>
      <c r="C10" s="352"/>
      <c r="D10" s="352"/>
      <c r="E10" s="352"/>
      <c r="F10" s="352" t="str">
        <f>IFERROR(IF(_xlfn.XLOOKUP(B10,Terméklista!$B$2:$B$103,Terméklista!$G$2:$G$103)="","",_xlfn.XLOOKUP(B10,Terméklista!$B$2:$B$103,Terméklista!$G$2:$G$103)),"")</f>
        <v/>
      </c>
      <c r="G10" s="353"/>
      <c r="H10" s="354"/>
      <c r="I10" s="355"/>
      <c r="J10" s="355"/>
    </row>
    <row r="11" spans="1:10" s="35" customFormat="1" ht="23.25" customHeight="1">
      <c r="A11" s="351"/>
      <c r="B11" s="352"/>
      <c r="C11" s="352"/>
      <c r="D11" s="352"/>
      <c r="E11" s="352"/>
      <c r="F11" s="352" t="str">
        <f>IFERROR(IF(_xlfn.XLOOKUP(B11,Terméklista!$B$2:$B$103,Terméklista!$G$2:$G$103)="","",_xlfn.XLOOKUP(B11,Terméklista!$B$2:$B$103,Terméklista!$G$2:$G$103)),"")</f>
        <v/>
      </c>
      <c r="G11" s="353"/>
      <c r="H11" s="354"/>
      <c r="I11" s="355"/>
      <c r="J11" s="355"/>
    </row>
    <row r="12" spans="1:10" ht="28.5" customHeight="1"/>
    <row r="13" spans="1:10" ht="23.25" customHeight="1">
      <c r="A13" s="359" t="s">
        <v>535</v>
      </c>
      <c r="B13" s="360" t="s">
        <v>508</v>
      </c>
    </row>
    <row r="14" spans="1:10" ht="8.25" customHeight="1"/>
    <row r="15" spans="1:10" ht="15.75">
      <c r="A15" s="1" t="s">
        <v>44</v>
      </c>
      <c r="B15" s="1" t="s">
        <v>194</v>
      </c>
      <c r="C15" s="1" t="s">
        <v>199</v>
      </c>
      <c r="D15" s="1" t="s">
        <v>0</v>
      </c>
      <c r="E15" s="36" t="s">
        <v>196</v>
      </c>
      <c r="F15" s="1" t="s">
        <v>80</v>
      </c>
      <c r="G15" s="348" t="s">
        <v>195</v>
      </c>
      <c r="H15" s="349" t="s">
        <v>45</v>
      </c>
      <c r="I15" s="350" t="s">
        <v>533</v>
      </c>
      <c r="J15" s="350" t="s">
        <v>534</v>
      </c>
    </row>
    <row r="16" spans="1:10" s="35" customFormat="1" ht="23.25" customHeight="1">
      <c r="A16" s="351"/>
      <c r="B16" s="352"/>
      <c r="C16" s="352"/>
      <c r="D16" s="352"/>
      <c r="E16" s="352"/>
      <c r="F16" s="352"/>
      <c r="G16" s="353"/>
      <c r="H16" s="354"/>
      <c r="I16" s="355"/>
      <c r="J16" s="355"/>
    </row>
    <row r="17" spans="1:17" s="35" customFormat="1" ht="23.25" customHeight="1">
      <c r="A17" s="351"/>
      <c r="B17" s="352"/>
      <c r="C17" s="352"/>
      <c r="D17" s="352"/>
      <c r="E17" s="352"/>
      <c r="F17" s="352"/>
      <c r="G17" s="353"/>
      <c r="H17" s="354"/>
      <c r="I17" s="355"/>
      <c r="J17" s="355"/>
    </row>
    <row r="18" spans="1:17" s="35" customFormat="1" ht="23.25" customHeight="1">
      <c r="A18" s="351"/>
      <c r="B18" s="352"/>
      <c r="C18" s="352"/>
      <c r="D18" s="352"/>
      <c r="E18" s="352"/>
      <c r="F18" s="352"/>
      <c r="G18" s="353"/>
      <c r="H18" s="354"/>
      <c r="I18" s="355"/>
      <c r="J18" s="355"/>
    </row>
    <row r="19" spans="1:17" s="35" customFormat="1" ht="23.25" customHeight="1">
      <c r="A19" s="351"/>
      <c r="B19" s="352"/>
      <c r="C19" s="352"/>
      <c r="D19" s="352"/>
      <c r="E19" s="352"/>
      <c r="F19" s="352"/>
      <c r="G19" s="353"/>
      <c r="H19" s="354"/>
      <c r="I19" s="355"/>
      <c r="J19" s="355"/>
    </row>
    <row r="20" spans="1:17" ht="24.75" customHeight="1">
      <c r="A20" s="7"/>
    </row>
    <row r="21" spans="1:17" ht="21" customHeight="1">
      <c r="A21" s="359" t="s">
        <v>531</v>
      </c>
      <c r="B21" s="360" t="s">
        <v>532</v>
      </c>
    </row>
    <row r="22" spans="1:17" ht="30">
      <c r="A22" s="339" t="s">
        <v>21</v>
      </c>
      <c r="B22" s="339" t="s">
        <v>82</v>
      </c>
      <c r="C22" s="339" t="s">
        <v>83</v>
      </c>
      <c r="D22" s="340" t="s">
        <v>0</v>
      </c>
      <c r="E22" s="339" t="s">
        <v>22</v>
      </c>
      <c r="F22" s="339" t="s">
        <v>23</v>
      </c>
      <c r="G22" s="339" t="s">
        <v>80</v>
      </c>
      <c r="H22" s="339" t="s">
        <v>200</v>
      </c>
      <c r="I22" s="339" t="s">
        <v>210</v>
      </c>
      <c r="J22" s="339" t="s">
        <v>208</v>
      </c>
      <c r="K22" s="339" t="s">
        <v>209</v>
      </c>
      <c r="L22" s="339" t="s">
        <v>58</v>
      </c>
      <c r="M22" s="339" t="s">
        <v>59</v>
      </c>
      <c r="N22" s="341" t="s">
        <v>205</v>
      </c>
      <c r="O22" s="341" t="s">
        <v>445</v>
      </c>
      <c r="P22" s="339" t="s">
        <v>198</v>
      </c>
      <c r="Q22" s="339" t="s">
        <v>496</v>
      </c>
    </row>
    <row r="23" spans="1:17">
      <c r="A23" s="362"/>
      <c r="B23" s="342"/>
      <c r="C23" s="342"/>
      <c r="D23" s="343"/>
      <c r="E23" s="344"/>
      <c r="F23" s="13"/>
      <c r="G23" s="23"/>
      <c r="H23" s="23"/>
      <c r="I23" s="345"/>
      <c r="J23" s="345"/>
      <c r="K23" s="345"/>
      <c r="L23" s="344"/>
      <c r="M23" s="346"/>
      <c r="N23" s="344"/>
      <c r="O23" s="344"/>
      <c r="P23" s="342"/>
      <c r="Q23" s="347"/>
    </row>
    <row r="27" spans="1:17" ht="22.5" customHeight="1">
      <c r="A27" s="359" t="s">
        <v>531</v>
      </c>
      <c r="B27" s="360" t="s">
        <v>309</v>
      </c>
    </row>
    <row r="28" spans="1:17">
      <c r="A28" s="35"/>
      <c r="B28" s="35"/>
    </row>
    <row r="29" spans="1:17" s="17" customFormat="1">
      <c r="A29" s="339" t="s">
        <v>60</v>
      </c>
      <c r="B29" s="339" t="s">
        <v>313</v>
      </c>
      <c r="C29" s="339" t="s">
        <v>61</v>
      </c>
      <c r="D29" s="339" t="s">
        <v>62</v>
      </c>
      <c r="E29" s="339" t="s">
        <v>63</v>
      </c>
      <c r="F29" s="339" t="s">
        <v>64</v>
      </c>
      <c r="G29" s="339" t="s">
        <v>65</v>
      </c>
      <c r="H29" s="339" t="s">
        <v>187</v>
      </c>
      <c r="I29" s="339" t="s">
        <v>60</v>
      </c>
    </row>
    <row r="30" spans="1:17" s="17" customFormat="1" ht="36" customHeight="1">
      <c r="A30" s="364"/>
      <c r="B30" s="365"/>
      <c r="C30" s="365"/>
      <c r="D30" s="365"/>
      <c r="E30" s="365"/>
      <c r="F30" s="366"/>
      <c r="G30" s="367" t="str">
        <f t="shared" ref="G30" si="0">CONCATENATE(D30," ",C30,", ",E30)</f>
        <v xml:space="preserve"> , </v>
      </c>
      <c r="H30" s="365"/>
      <c r="I30" s="365"/>
    </row>
  </sheetData>
  <phoneticPr fontId="12" type="noConversion"/>
  <dataValidations count="1">
    <dataValidation type="list" allowBlank="1" showInputMessage="1" showErrorMessage="1" sqref="A22:A23" xr:uid="{815E1ABE-8519-4239-988A-15524296350E}">
      <formula1>Vevő_név</formula1>
    </dataValidation>
  </dataValidations>
  <pageMargins left="0.7" right="0.7" top="0.75" bottom="0.75" header="0.3" footer="0.3"/>
  <pageSetup paperSize="9" orientation="portrait" r:id="rId1"/>
  <ignoredErrors>
    <ignoredError sqref="B3" listDataValidation="1"/>
  </ignoredErrors>
  <drawing r:id="rId2"/>
  <mc:AlternateContent xmlns:mc="http://schemas.openxmlformats.org/markup-compatibility/2006">
    <mc:Choice Requires="v">
      <legacyDrawing r:id="rId3"/>
    </mc:Choice>
  </mc:AlternateContent>
  <controls>
    <control shapeId="9230" r:id="rId4" name="Button 14">
      <controlPr defaultSize="0" print="0" autoFill="0" autoPict="0" macro="[0]!Újrendelsé_felvétel">
        <anchor moveWithCells="1">
          <from>
            <xdr:col>2</xdr:col>
            <xdr:colOff>28575</xdr:colOff>
            <xdr:row>0</xdr:row>
            <xdr:rowOff>9525</xdr:rowOff>
          </from>
          <to>
            <xdr:col>3</xdr:col>
            <xdr:colOff>676275</xdr:colOff>
            <xdr:row>1</xdr:row>
            <xdr:rowOff>38100</xdr:rowOff>
          </to>
        </anchor>
      </controlPr>
    </control>
    <control shapeId="9253" r:id="rId5" name="Button 37">
      <controlPr defaultSize="0" print="0" autoFill="0" autoPict="0" macro="[0]!uj_ceg_felvetele">
        <anchor moveWithCells="1">
          <from>
            <xdr:col>2</xdr:col>
            <xdr:colOff>9525</xdr:colOff>
            <xdr:row>26</xdr:row>
            <xdr:rowOff>28575</xdr:rowOff>
          </from>
          <to>
            <xdr:col>3</xdr:col>
            <xdr:colOff>657225</xdr:colOff>
            <xdr:row>26</xdr:row>
            <xdr:rowOff>257175</xdr:rowOff>
          </to>
        </anchor>
      </controlPr>
    </control>
    <control shapeId="9254" r:id="rId6" name="Button 38">
      <controlPr defaultSize="0" print="0" autoFill="0" autoPict="0" macro="[0]!uj_termek_felvetele">
        <anchor moveWithCells="1">
          <from>
            <xdr:col>2</xdr:col>
            <xdr:colOff>28575</xdr:colOff>
            <xdr:row>20</xdr:row>
            <xdr:rowOff>9525</xdr:rowOff>
          </from>
          <to>
            <xdr:col>3</xdr:col>
            <xdr:colOff>676275</xdr:colOff>
            <xdr:row>20</xdr:row>
            <xdr:rowOff>257175</xdr:rowOff>
          </to>
        </anchor>
      </controlPr>
    </control>
  </controls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7746166-ACB6-4AF5-9DF6-03D288F29874}">
          <x14:formula1>
            <xm:f>_xlfn.ANCHORARRAY(Terméklista!$V$8)</xm:f>
          </x14:formula1>
          <xm:sqref>A15:A19 A3:A11</xm:sqref>
        </x14:dataValidation>
        <x14:dataValidation type="list" showInputMessage="1" showErrorMessage="1" xr:uid="{438CB2F2-6239-47C5-8278-33F197BC19F1}">
          <x14:formula1>
            <xm:f>_xlfn.ANCHORARRAY(_xlfn.XLOOKUP(A4,Terméklista!$V$8:$AD$8,Terméklista!$V$9:$AD$9))</xm:f>
          </x14:formula1>
          <xm:sqref>B16:B19 B4:B11</xm:sqref>
        </x14:dataValidation>
        <x14:dataValidation type="list" allowBlank="1" showInputMessage="1" showErrorMessage="1" xr:uid="{44B4F8FC-2F61-4AAC-B501-5750A68E41C4}">
          <x14:formula1>
            <xm:f>_xlfn.XLOOKUP(B4,Terméklista!C1048245:C1048342,Terméklista!E1048245:E1048342," ")</xm:f>
          </x14:formula1>
          <xm:sqref>D16:D19 D4:D11</xm:sqref>
        </x14:dataValidation>
        <x14:dataValidation type="list" allowBlank="1" showInputMessage="1" showErrorMessage="1" xr:uid="{3AD3CC61-F506-456E-9512-EDA2CE65FF6B}">
          <x14:formula1>
            <xm:f>_xlfn.ANCHORARRAY(_xlfn.XLOOKUP(A3,Terméklista!W1048244:AF1048244,Terméklista!W1048245:AF1048245))</xm:f>
          </x14:formula1>
          <xm:sqref>B15 B3</xm:sqref>
        </x14:dataValidation>
      </x14:dataValidations>
    </ext>
  </extLs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1:ASS123"/>
  <sheetViews>
    <sheetView zoomScaleNormal="100" workbookViewId="0">
      <selection activeCell="N123" sqref="N123"/>
    </sheetView>
  </sheetViews>
  <sheetFormatPr defaultColWidth="8.7109375" defaultRowHeight="15"/>
  <cols>
    <col min="1" max="1" width="29.42578125" customWidth="1"/>
    <col min="2" max="2" width="29" style="7" customWidth="1"/>
    <col min="3" max="3" width="16.42578125" style="7" customWidth="1"/>
    <col min="4" max="4" width="13.28515625" style="7" customWidth="1"/>
    <col min="5" max="5" width="18.42578125" customWidth="1"/>
    <col min="6" max="6" width="14.42578125" style="7" customWidth="1"/>
    <col min="7" max="7" width="18.140625" style="205" customWidth="1"/>
    <col min="8" max="8" width="14.7109375" style="150" customWidth="1"/>
    <col min="9" max="10" width="16" style="8" customWidth="1"/>
    <col min="11" max="11" width="15.7109375" style="8" customWidth="1"/>
    <col min="12" max="12" width="9.42578125" style="34" customWidth="1"/>
    <col min="13" max="13" width="11" style="34" customWidth="1"/>
    <col min="14" max="14" width="12" style="7" customWidth="1"/>
    <col min="15" max="15" width="11.28515625" style="147" customWidth="1"/>
    <col min="16" max="16" width="13.28515625" customWidth="1"/>
    <col min="17" max="17" width="12.7109375" style="142" customWidth="1"/>
    <col min="18" max="18" width="19" customWidth="1"/>
    <col min="19" max="19" width="23.28515625" customWidth="1"/>
    <col min="20" max="20" width="14.140625" bestFit="1" customWidth="1"/>
    <col min="21" max="21" width="31.85546875" customWidth="1"/>
    <col min="22" max="22" width="10.28515625" bestFit="1" customWidth="1"/>
  </cols>
  <sheetData>
    <row r="1" spans="1:1189" ht="31.5" customHeight="1">
      <c r="A1" s="412" t="s">
        <v>49</v>
      </c>
      <c r="B1" s="412"/>
      <c r="C1" s="412"/>
      <c r="D1" s="33"/>
      <c r="E1" s="33"/>
      <c r="F1" s="33"/>
      <c r="G1" s="204"/>
      <c r="H1" s="148"/>
      <c r="I1" s="134"/>
      <c r="J1" s="134"/>
      <c r="K1" s="134"/>
      <c r="L1" s="39"/>
      <c r="M1" s="39"/>
      <c r="N1" s="33"/>
      <c r="O1" s="146"/>
      <c r="P1" s="136"/>
      <c r="R1" s="142" t="e">
        <f>SUM(Rendelés[Szükséges anyagmennyiség])</f>
        <v>#N/A</v>
      </c>
      <c r="S1" s="211"/>
    </row>
    <row r="2" spans="1:1189" ht="47.25">
      <c r="A2" s="130" t="s">
        <v>44</v>
      </c>
      <c r="B2" s="130" t="s">
        <v>194</v>
      </c>
      <c r="C2" s="130" t="s">
        <v>199</v>
      </c>
      <c r="D2" s="130" t="s">
        <v>0</v>
      </c>
      <c r="E2" s="131" t="s">
        <v>196</v>
      </c>
      <c r="F2" s="130" t="s">
        <v>80</v>
      </c>
      <c r="G2" s="132" t="s">
        <v>195</v>
      </c>
      <c r="H2" s="149" t="s">
        <v>45</v>
      </c>
      <c r="I2" s="135" t="s">
        <v>46</v>
      </c>
      <c r="J2" s="135" t="s">
        <v>47</v>
      </c>
      <c r="K2" s="135" t="s">
        <v>48</v>
      </c>
      <c r="L2" s="131" t="s">
        <v>277</v>
      </c>
      <c r="M2" s="130" t="s">
        <v>207</v>
      </c>
      <c r="N2" s="131" t="s">
        <v>200</v>
      </c>
      <c r="O2" s="152" t="s">
        <v>307</v>
      </c>
      <c r="P2" s="140" t="s">
        <v>2</v>
      </c>
      <c r="Q2" s="143" t="s">
        <v>4</v>
      </c>
      <c r="R2" s="141" t="s">
        <v>308</v>
      </c>
      <c r="S2" s="133" t="s">
        <v>203</v>
      </c>
      <c r="T2" s="132" t="s">
        <v>234</v>
      </c>
      <c r="U2" s="34" t="s">
        <v>703</v>
      </c>
    </row>
    <row r="3" spans="1:1189" hidden="1">
      <c r="A3" t="s">
        <v>182</v>
      </c>
      <c r="B3" s="34" t="s">
        <v>27</v>
      </c>
      <c r="C3" s="203" t="str">
        <f>IFERROR(_xlfn.XLOOKUP(B3,Terméklista!$B$2:$B$103,Terméklista!$C$2:$C$103,)," ")</f>
        <v xml:space="preserve"> </v>
      </c>
      <c r="E3" s="34" t="s">
        <v>197</v>
      </c>
      <c r="F3" s="203" t="str">
        <f>_xlfn.XLOOKUP(B3,Terméklista!$B$2:$B$103,Terméklista!$G$2:$G$103," ")</f>
        <v xml:space="preserve"> </v>
      </c>
      <c r="G3" s="205">
        <v>26287</v>
      </c>
      <c r="H3" s="150">
        <v>10000</v>
      </c>
      <c r="I3" s="8" t="d">
        <v>2024-11-18</v>
      </c>
      <c r="J3" s="8" t="d">
        <v>2025-01-28</v>
      </c>
      <c r="K3" s="8" t="d">
        <v>2025-01-21</v>
      </c>
      <c r="L3" s="34" t="s">
        <v>53</v>
      </c>
      <c r="N3" s="7" t="str">
        <f>IFERROR(_xlfn.XLOOKUP(B3,Terméklista!B2:B103,Terméklista!H2:H103)," ")</f>
        <v xml:space="preserve"> </v>
      </c>
      <c r="O3" s="147" t="str">
        <f>IFERROR(ROUNDUP(Rendelés[[#This Row],[Amount/pc]]/_xlfn.XLOOKUP(B3,Terméklista!$B$2:$B$103,Terméklista!$M$2:$M$103,),0)," ")</f>
        <v xml:space="preserve"> </v>
      </c>
      <c r="P3" t="str">
        <f>IFERROR(ROUNDUP(Rendelés[[#This Row],[Dobozok száma]]/_xlfn.XLOOKUP(B3,Terméklista!$B$2:$B$103,Terméklista!$N$2:$N$103,),0)," ")</f>
        <v xml:space="preserve"> </v>
      </c>
      <c r="Q3" s="142" t="str">
        <f>IFERROR(Rendelés[[#This Row],[Szükséges anyagmennyiség]]+(Rendelés[[#This Row],[Össz raklapok száma]]*25),"")</f>
        <v/>
      </c>
      <c r="R3" s="142" t="e" cm="1">
        <f t="array" ref="R3">(H3*_xlfn.XLOOKUP(B3,Terméklista!$B$2:$B$103,Terméklista!F$2:$F$103,))/1000</f>
        <v>#N/A</v>
      </c>
      <c r="S3" s="153" t="str">
        <f>IFERROR(((H3/_xlfn.XLOOKUP(B3,Terméklista!$B$2:$B$103,Terméklista!$E$2:$E$103)*_xlfn.XLOOKUP(B3,Terméklista!$B$2:$B$103,Terméklista!$I$2:$I$103)))/3600," ")</f>
        <v xml:space="preserve"> </v>
      </c>
    </row>
    <row r="4" spans="1:1189" hidden="1">
      <c r="A4" t="s">
        <v>180</v>
      </c>
      <c r="B4" s="34" t="s">
        <v>17</v>
      </c>
      <c r="C4" s="203" t="str">
        <f>IFERROR(_xlfn.XLOOKUP(B4,Terméklista!$B$2:$B$103,Terméklista!$C$2:$C$103,)," ")</f>
        <v>Zamak Gewicht</v>
      </c>
      <c r="E4" s="34" t="s">
        <v>292</v>
      </c>
      <c r="F4" s="203" t="str">
        <f>_xlfn.XLOOKUP(B4,Terméklista!$B$2:$B$103,Terméklista!$G$2:$G$103," ")</f>
        <v xml:space="preserve"> Z410</v>
      </c>
      <c r="G4" s="205">
        <v>4500099245</v>
      </c>
      <c r="H4" s="150">
        <v>75000</v>
      </c>
      <c r="I4" s="8" t="d">
        <v>2024-11-25</v>
      </c>
      <c r="J4" s="8" t="d">
        <v>2025-02-03</v>
      </c>
      <c r="K4" s="8" t="d">
        <v>2025-02-18</v>
      </c>
      <c r="L4" s="208" t="s">
        <v>53</v>
      </c>
      <c r="N4" s="7">
        <f>IFERROR(_xlfn.XLOOKUP(B4,Terméklista!B18:B119,Terméklista!H18:H119)," ")</f>
        <v>0</v>
      </c>
      <c r="O4" s="147">
        <f>IFERROR(ROUNDUP(Rendelés[[#This Row],[Amount/pc]]/_xlfn.XLOOKUP(B4,Terméklista!$B$2:$B$103,Terméklista!$M$2:$M$103,),0)," ")</f>
        <v>215</v>
      </c>
      <c r="P4">
        <f>IFERROR(ROUNDUP(Rendelés[[#This Row],[Dobozok száma]]/_xlfn.XLOOKUP(B4,Terméklista!$B$2:$B$103,Terméklista!$N$2:$N$103,),0)," ")</f>
        <v>3</v>
      </c>
      <c r="Q4" s="145">
        <f>IFERROR(Rendelés[[#This Row],[Szükséges anyagmennyiség]]+(Rendelés[[#This Row],[Össz raklapok száma]]*25),"")</f>
        <v>1350</v>
      </c>
      <c r="R4" s="145" cm="1">
        <f t="array" ref="R4">(H4*_xlfn.XLOOKUP(B4,Terméklista!$B$2:$B$103,Terméklista!F$2:$F$103,))/1000</f>
        <v>1275</v>
      </c>
      <c r="S4" s="153">
        <f>IFERROR(((H4/_xlfn.XLOOKUP(B4,Terméklista!$B$2:$B$103,Terméklista!$E$2:$E$103)*_xlfn.XLOOKUP(B4,Terméklista!$B$2:$B$103,Terméklista!$I$2:$I$103)))/3600," ")</f>
        <v>52.083333333333336</v>
      </c>
    </row>
    <row r="5" spans="1:1189" s="212" customFormat="1" hidden="1">
      <c r="A5" t="s">
        <v>180</v>
      </c>
      <c r="B5" s="34" t="s">
        <v>16</v>
      </c>
      <c r="C5" s="203" t="str">
        <f>IFERROR(_xlfn.XLOOKUP(B5,Terméklista!$B$2:$B$103,Terméklista!$C$2:$C$103,)," ")</f>
        <v>Zamak Gewicht</v>
      </c>
      <c r="D5" s="7"/>
      <c r="E5" s="34" t="s">
        <v>190</v>
      </c>
      <c r="F5" s="203" t="str">
        <f>_xlfn.XLOOKUP(B5,Terméklista!$B$2:$B$103,Terméklista!$G$2:$G$103," ")</f>
        <v xml:space="preserve"> Z410</v>
      </c>
      <c r="G5" s="205">
        <v>4500099503</v>
      </c>
      <c r="H5" s="150">
        <v>100000</v>
      </c>
      <c r="I5" s="8" t="d">
        <v>2024-12-12</v>
      </c>
      <c r="J5" s="8" t="d">
        <v>2025-02-13</v>
      </c>
      <c r="K5" s="8" t="d">
        <v>2025-03-06</v>
      </c>
      <c r="L5" s="34" t="s">
        <v>53</v>
      </c>
      <c r="M5" s="34"/>
      <c r="N5" s="7">
        <f>IFERROR(_xlfn.XLOOKUP(B5,Terméklista!B3:B104,Terméklista!H3:H104)," ")</f>
        <v>0</v>
      </c>
      <c r="O5" s="147">
        <f>IFERROR(ROUNDUP(Rendelés[[#This Row],[Amount/pc]]/_xlfn.XLOOKUP(B5,Terméklista!$B$2:$B$103,Terméklista!$M$2:$M$103,),0)," ")</f>
        <v>200</v>
      </c>
      <c r="P5">
        <f>IFERROR(ROUNDUP(Rendelés[[#This Row],[Dobozok száma]]/_xlfn.XLOOKUP(B5,Terméklista!$B$2:$B$103,Terméklista!$N$2:$N$103,),0)," ")</f>
        <v>3</v>
      </c>
      <c r="Q5" s="145">
        <f>IFERROR(Rendelés[[#This Row],[Szükséges anyagmennyiség]]+(Rendelés[[#This Row],[Össz raklapok száma]]*25),"")</f>
        <v>1125</v>
      </c>
      <c r="R5" s="145" cm="1">
        <f t="array" ref="R5">(H5*_xlfn.XLOOKUP(B5,Terméklista!$B$2:$B$103,Terméklista!F$2:$F$103,))/1000</f>
        <v>1050</v>
      </c>
      <c r="S5" s="153">
        <f>IFERROR(((H5/_xlfn.XLOOKUP(B5,Terméklista!$B$2:$B$103,Terméklista!$E$2:$E$103)*_xlfn.XLOOKUP(B5,Terméklista!$B$2:$B$103,Terméklista!$I$2:$I$103)))/3600," ")</f>
        <v>69.444444444444443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</row>
    <row r="6" spans="1:1189" hidden="1">
      <c r="A6" s="212" t="s">
        <v>180</v>
      </c>
      <c r="B6" s="213" t="s">
        <v>17</v>
      </c>
      <c r="C6" s="214" t="str">
        <f>IFERROR(_xlfn.XLOOKUP(B6,Terméklista!$B$2:$B$103,Terméklista!$C$2:$C$103,)," ")</f>
        <v>Zamak Gewicht</v>
      </c>
      <c r="D6" s="214"/>
      <c r="E6" s="213" t="s">
        <v>202</v>
      </c>
      <c r="F6" s="214" t="str">
        <f>_xlfn.XLOOKUP(B6,Terméklista!$B$2:$B$103,Terméklista!$G$2:$G$103," ")</f>
        <v xml:space="preserve"> Z410</v>
      </c>
      <c r="G6" s="215">
        <v>4500099546</v>
      </c>
      <c r="H6" s="216">
        <v>50000</v>
      </c>
      <c r="I6" s="217" t="d">
        <v>2024-12-16</v>
      </c>
      <c r="J6" s="217" t="d">
        <v>2025-03-31</v>
      </c>
      <c r="K6" s="217"/>
      <c r="L6" s="213" t="s">
        <v>53</v>
      </c>
      <c r="M6" s="213"/>
      <c r="N6" s="214">
        <f>IFERROR(_xlfn.XLOOKUP(B6,Terméklista!B4:B105,Terméklista!H4:H105)," ")</f>
        <v>0</v>
      </c>
      <c r="O6" s="218">
        <f>IFERROR(ROUNDUP(Rendelés[[#This Row],[Amount/pc]]/_xlfn.XLOOKUP(B6,Terméklista!$B$2:$B$103,Terméklista!$M$2:$M$103,),0)," ")</f>
        <v>143</v>
      </c>
      <c r="P6" s="212">
        <f>IFERROR(ROUNDUP(Rendelés[[#This Row],[Dobozok száma]]/_xlfn.XLOOKUP(B6,Terméklista!$B$2:$B$103,Terméklista!$N$2:$N$103,),0)," ")</f>
        <v>2</v>
      </c>
      <c r="Q6" s="219">
        <f>IFERROR(Rendelés[[#This Row],[Szükséges anyagmennyiség]]+(Rendelés[[#This Row],[Össz raklapok száma]]*25),"")</f>
        <v>900</v>
      </c>
      <c r="R6" s="219" cm="1">
        <f t="array" ref="R6">(H6*_xlfn.XLOOKUP(B6,Terméklista!$B$2:$B$103,Terméklista!F$2:$F$103,))/1000</f>
        <v>850</v>
      </c>
      <c r="S6" s="220">
        <f>IFERROR(((H6/_xlfn.XLOOKUP(B6,Terméklista!$B$2:$B$103,Terméklista!$E$2:$E$103)*_xlfn.XLOOKUP(B6,Terméklista!$B$2:$B$103,Terméklista!$I$2:$I$103)))/3600," ")</f>
        <v>34.722222222222221</v>
      </c>
      <c r="T6" s="212" t="s">
        <v>367</v>
      </c>
    </row>
    <row r="7" spans="1:1189" hidden="1">
      <c r="A7" t="s">
        <v>156</v>
      </c>
      <c r="B7" s="34" t="s">
        <v>116</v>
      </c>
      <c r="C7" s="203" t="str">
        <f>IFERROR(_xlfn.XLOOKUP(B7,Terméklista!$B$2:$B$103,Terméklista!$C$2:$C$103,)," ")</f>
        <v>nagykulcs - 3mm</v>
      </c>
      <c r="E7" s="34" t="s">
        <v>279</v>
      </c>
      <c r="F7" s="203" t="str">
        <f>_xlfn.XLOOKUP(B7,Terméklista!$B$2:$B$103,Terméklista!$G$2:$G$103," ")</f>
        <v xml:space="preserve"> Z410</v>
      </c>
      <c r="G7" s="205">
        <v>5491</v>
      </c>
      <c r="H7" s="150">
        <v>1000</v>
      </c>
      <c r="I7" s="8" t="d">
        <v>2025-01-06</v>
      </c>
      <c r="J7" s="8" t="d">
        <v>2025-01-08</v>
      </c>
      <c r="K7" s="8" t="d">
        <v>2025-01-09</v>
      </c>
      <c r="L7" s="208" t="s">
        <v>53</v>
      </c>
      <c r="N7" s="7">
        <f>IFERROR(_xlfn.XLOOKUP(B7,Terméklista!B5:B106,Terméklista!H5:H106)," ")</f>
        <v>0</v>
      </c>
      <c r="O7" s="147" t="str">
        <f>IFERROR(ROUNDUP(Rendelés[[#This Row],[Amount/pc]]/_xlfn.XLOOKUP(B7,Terméklista!$B$2:$B$103,Terméklista!$M$2:$M$103,),0)," ")</f>
        <v xml:space="preserve"> </v>
      </c>
      <c r="P7" t="str">
        <f>IFERROR(ROUNDUP(Rendelés[[#This Row],[Dobozok száma]]/_xlfn.XLOOKUP(B7,Terméklista!$B$2:$B$103,Terméklista!$N$2:$N$103,),0)," ")</f>
        <v xml:space="preserve"> </v>
      </c>
      <c r="Q7" s="145" t="str">
        <f>IFERROR(Rendelés[[#This Row],[Szükséges anyagmennyiség]]+(Rendelés[[#This Row],[Össz raklapok száma]]*25),"")</f>
        <v/>
      </c>
      <c r="R7" s="145" cm="1">
        <f t="array" ref="R7">(H7*_xlfn.XLOOKUP(B7,Terméklista!$B$2:$B$103,Terméklista!F$2:$F$103,))/1000</f>
        <v>47.550000000000004</v>
      </c>
      <c r="S7" s="153">
        <f>IFERROR(((H7/_xlfn.XLOOKUP(B7,Terméklista!$B$2:$B$103,Terméklista!$E$2:$E$103)*_xlfn.XLOOKUP(B7,Terméklista!$B$2:$B$103,Terméklista!$I$2:$I$103)))/3600," ")</f>
        <v>2.0833333333333335</v>
      </c>
    </row>
    <row r="8" spans="1:1189" hidden="1">
      <c r="A8" t="s">
        <v>156</v>
      </c>
      <c r="B8" s="34" t="s">
        <v>116</v>
      </c>
      <c r="C8" s="203" t="str">
        <f>IFERROR(_xlfn.XLOOKUP(B8,Terméklista!$B$2:$B$103,Terméklista!$C$2:$C$103,)," ")</f>
        <v>nagykulcs - 3mm</v>
      </c>
      <c r="E8" s="34" t="s">
        <v>280</v>
      </c>
      <c r="F8" s="203" t="str">
        <f>_xlfn.XLOOKUP(B8,Terméklista!$B$2:$B$103,Terméklista!$G$2:$G$103," ")</f>
        <v xml:space="preserve"> Z410</v>
      </c>
      <c r="G8" s="205">
        <v>5505</v>
      </c>
      <c r="H8" s="150">
        <v>1500</v>
      </c>
      <c r="I8" s="8" t="d">
        <v>2025-01-13</v>
      </c>
      <c r="J8" s="8" t="d">
        <v>2025-02-03</v>
      </c>
      <c r="K8" s="8" t="d">
        <v>2025-02-03</v>
      </c>
      <c r="L8" s="208" t="s">
        <v>53</v>
      </c>
      <c r="N8" s="7">
        <f>IFERROR(_xlfn.XLOOKUP(B8,Terméklista!B6:B107,Terméklista!H6:H107)," ")</f>
        <v>0</v>
      </c>
      <c r="O8" s="147" t="str">
        <f>IFERROR(ROUNDUP(Rendelés[[#This Row],[Amount/pc]]/_xlfn.XLOOKUP(B8,Terméklista!$B$2:$B$103,Terméklista!$M$2:$M$103,),0)," ")</f>
        <v xml:space="preserve"> </v>
      </c>
      <c r="P8" t="str">
        <f>IFERROR(ROUNDUP(Rendelés[[#This Row],[Dobozok száma]]/_xlfn.XLOOKUP(B8,Terméklista!$B$2:$B$103,Terméklista!$N$2:$N$103,),0)," ")</f>
        <v xml:space="preserve"> </v>
      </c>
      <c r="Q8" s="145" t="str">
        <f>IFERROR(Rendelés[[#This Row],[Szükséges anyagmennyiség]]+(Rendelés[[#This Row],[Össz raklapok száma]]*30),"")</f>
        <v/>
      </c>
      <c r="R8" s="145" cm="1">
        <f t="array" ref="R8">(H8*_xlfn.XLOOKUP(B8,Terméklista!$B$2:$B$103,Terméklista!F$2:$F$103,))/1000</f>
        <v>71.325000000000003</v>
      </c>
      <c r="S8" s="153">
        <f>IFERROR(((H8/_xlfn.XLOOKUP(B8,Terméklista!$B$2:$B$103,Terméklista!$E$2:$E$103)*_xlfn.XLOOKUP(B8,Terméklista!$B$2:$B$103,Terméklista!$I$2:$I$103)))/3600," ")</f>
        <v>3.125</v>
      </c>
    </row>
    <row r="9" spans="1:1189" s="212" customFormat="1" hidden="1">
      <c r="A9" s="212" t="s">
        <v>180</v>
      </c>
      <c r="B9" s="213" t="s">
        <v>50</v>
      </c>
      <c r="C9" s="214" t="str">
        <f>IFERROR(_xlfn.XLOOKUP(B9,Terméklista!$B$2:$B$103,Terméklista!$C$2:$C$103,)," ")</f>
        <v>Zamak Gewicht</v>
      </c>
      <c r="D9" s="214"/>
      <c r="E9" s="213" t="s">
        <v>281</v>
      </c>
      <c r="F9" s="203" t="str">
        <f>_xlfn.XLOOKUP(B9,Terméklista!$B$2:$B$103,Terméklista!$G$2:$G$103," ")</f>
        <v xml:space="preserve"> Z410</v>
      </c>
      <c r="G9" s="215">
        <v>4500099767</v>
      </c>
      <c r="H9" s="216">
        <v>70000</v>
      </c>
      <c r="I9" s="217" t="d">
        <v>2025-01-14</v>
      </c>
      <c r="J9" s="217" t="d">
        <v>2025-04-02</v>
      </c>
      <c r="K9" s="217" t="d">
        <v>2025-04-03</v>
      </c>
      <c r="L9" s="213" t="s">
        <v>53</v>
      </c>
      <c r="M9" s="213"/>
      <c r="N9" s="214">
        <f>IFERROR(_xlfn.XLOOKUP(B9,Terméklista!B7:B108,Terméklista!H7:H108)," ")</f>
        <v>0</v>
      </c>
      <c r="O9" s="218">
        <f>IFERROR(ROUNDUP(Rendelés[[#This Row],[Amount/pc]]/_xlfn.XLOOKUP(B9,Terméklista!$B$2:$B$103,Terméklista!$M$2:$M$103,),0)," ")</f>
        <v>467</v>
      </c>
      <c r="P9" s="212">
        <f>IFERROR(ROUNDUP(Rendelés[[#This Row],[Dobozok száma]]/_xlfn.XLOOKUP(B9,Terméklista!$B$2:$B$103,Terméklista!$N$2:$N$103,),0)," ")</f>
        <v>16</v>
      </c>
      <c r="Q9" s="219">
        <f>IFERROR(Rendelés[[#This Row],[Szükséges anyagmennyiség]]+(Rendelés[[#This Row],[Össz raklapok száma]]*30),"")</f>
        <v>5051</v>
      </c>
      <c r="R9" s="219" cm="1">
        <f t="array" ref="R9">(H9*_xlfn.XLOOKUP(B9,Terméklista!$B$2:$B$103,Terméklista!F$2:$F$103,))/1000</f>
        <v>4571</v>
      </c>
      <c r="S9" s="220">
        <f>IFERROR(((H9/_xlfn.XLOOKUP(B9,Terméklista!$B$2:$B$103,Terméklista!$E$2:$E$103)*_xlfn.XLOOKUP(B9,Terméklista!$B$2:$B$103,Terméklista!$I$2:$I$103)))/3600," ")</f>
        <v>97.222222222222229</v>
      </c>
      <c r="T9" s="212" t="s">
        <v>406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</row>
    <row r="10" spans="1:1189" hidden="1">
      <c r="A10" s="212" t="s">
        <v>159</v>
      </c>
      <c r="B10" s="213" t="s">
        <v>51</v>
      </c>
      <c r="C10" s="214">
        <f>IFERROR(_xlfn.XLOOKUP(B10,Terméklista!$B$2:$B$103,Terméklista!$C$2:$C$103,)," ")</f>
        <v>0</v>
      </c>
      <c r="D10" s="214"/>
      <c r="E10" s="213" t="s">
        <v>282</v>
      </c>
      <c r="F10" s="214" t="str">
        <f>_xlfn.XLOOKUP(B10,Terméklista!$B$2:$B$103,Terméklista!$G$2:$G$103," ")</f>
        <v>Műanyag</v>
      </c>
      <c r="G10" s="215" t="s">
        <v>52</v>
      </c>
      <c r="H10" s="216">
        <v>360000</v>
      </c>
      <c r="I10" s="217" t="d">
        <v>2025-01-21</v>
      </c>
      <c r="J10" s="217" t="d">
        <v>2025-02-28</v>
      </c>
      <c r="K10" s="217" t="d">
        <v>2025-06-10</v>
      </c>
      <c r="L10" s="213" t="s">
        <v>53</v>
      </c>
      <c r="M10" s="213"/>
      <c r="N10" s="214" t="str">
        <f>_xlfn.XLOOKUP(J10,Terméklista!$B$2:$B$103,Terméklista!$H$2:$H$103," ")</f>
        <v xml:space="preserve"> </v>
      </c>
      <c r="O10" s="218" t="str">
        <f>IFERROR(ROUNDUP(Rendelés[[#This Row],[Amount/pc]]/_xlfn.XLOOKUP(B10,Terméklista!$B$2:$B$103,Terméklista!$M$2:$M$103,),0)," ")</f>
        <v xml:space="preserve"> </v>
      </c>
      <c r="P10" s="212" t="str">
        <f>IFERROR(ROUNDUP(Rendelés[[#This Row],[Dobozok száma]]/_xlfn.XLOOKUP(B10,Terméklista!$B$2:$B$103,Terméklista!$N$2:$N$103,),0)," ")</f>
        <v xml:space="preserve"> </v>
      </c>
      <c r="Q10" s="219" t="str">
        <f>IFERROR(Rendelés[[#This Row],[Szükséges anyagmennyiség]]+(Rendelés[[#This Row],[Össz raklapok száma]]*25),"")</f>
        <v/>
      </c>
      <c r="R10" s="219" cm="1">
        <f t="array" ref="R10">(H10*_xlfn.XLOOKUP(B10,Terméklista!$B$2:$B$203,Terméklista!F$2:$F$203,))/1000</f>
        <v>81</v>
      </c>
      <c r="S10" s="220">
        <f>IFERROR(((H10/_xlfn.XLOOKUP(B10,Terméklista!$B$2:$B$103,Terméklista!$E$2:$E$103)*_xlfn.XLOOKUP(B10,Terméklista!$B$2:$B$103,Terméklista!$I$2:$I$103)))/3600," ")</f>
        <v>325</v>
      </c>
      <c r="T10" s="212"/>
    </row>
    <row r="11" spans="1:1189" hidden="1">
      <c r="A11" t="s">
        <v>156</v>
      </c>
      <c r="B11" s="34" t="s">
        <v>304</v>
      </c>
      <c r="C11" s="203">
        <f>IFERROR(_xlfn.XLOOKUP(B11,Terméklista!$B$2:$B$103,Terméklista!$C$2:$C$103,)," ")</f>
        <v>0</v>
      </c>
      <c r="E11" s="34" t="s">
        <v>283</v>
      </c>
      <c r="F11" s="203" t="str">
        <f>_xlfn.XLOOKUP(B11,Terméklista!$B$2:$B$103,Terméklista!$G$2:$G$103," ")</f>
        <v xml:space="preserve"> Z410</v>
      </c>
      <c r="G11" s="205">
        <v>5526</v>
      </c>
      <c r="H11" s="150">
        <v>150</v>
      </c>
      <c r="I11" s="8" t="d">
        <v>2025-01-21</v>
      </c>
      <c r="J11" s="8" t="d">
        <v>2025-01-22</v>
      </c>
      <c r="K11" s="8" t="d">
        <v>2025-01-22</v>
      </c>
      <c r="L11" s="34" t="s">
        <v>53</v>
      </c>
      <c r="N11" s="7">
        <f>IFERROR(_xlfn.XLOOKUP(B11,Terméklista!B9:B110,Terméklista!H9:H110)," ")</f>
        <v>0</v>
      </c>
      <c r="O11" s="147" t="str">
        <f>IFERROR(ROUNDUP(Rendelés[[#This Row],[Amount/pc]]/_xlfn.XLOOKUP(B11,Terméklista!$B$2:$B$103,Terméklista!$M$2:$M$103,),0)," ")</f>
        <v xml:space="preserve"> </v>
      </c>
      <c r="P11" t="str">
        <f>IFERROR(ROUNDUP(Rendelés[[#This Row],[Dobozok száma]]/_xlfn.XLOOKUP(B11,Terméklista!$B$2:$B$103,Terméklista!$N$2:$N$103,),0)," ")</f>
        <v xml:space="preserve"> </v>
      </c>
      <c r="Q11" s="145" t="str">
        <f>IFERROR(Rendelés[[#This Row],[Szükséges anyagmennyiség]]+(Rendelés[[#This Row],[Össz raklapok száma]]*25),"")</f>
        <v/>
      </c>
      <c r="R11" s="145" cm="1">
        <f t="array" ref="R11">(H11*_xlfn.XLOOKUP(B11,Terméklista!$B$2:$B$103,Terméklista!F$2:$F$103,))/1000</f>
        <v>0.4335</v>
      </c>
      <c r="S11" s="153" t="str">
        <f>IFERROR(((H11/_xlfn.XLOOKUP(B11,Terméklista!$B$2:$B$103,Terméklista!$E$2:$E$103)*_xlfn.XLOOKUP(B11,Terméklista!$B$2:$B$103,Terméklista!$I$2:$I$103)))/3600," ")</f>
        <v xml:space="preserve"> </v>
      </c>
      <c r="T11" t="s">
        <v>353</v>
      </c>
    </row>
    <row r="12" spans="1:1189" hidden="1">
      <c r="A12" t="s">
        <v>156</v>
      </c>
      <c r="B12" s="34" t="s">
        <v>41</v>
      </c>
      <c r="C12" s="203">
        <f>IFERROR(_xlfn.XLOOKUP(B12,Terméklista!$B$2:$B$103,Terméklista!$C$2:$C$103,)," ")</f>
        <v>0</v>
      </c>
      <c r="E12" s="34" t="s">
        <v>284</v>
      </c>
      <c r="F12" s="203" t="str">
        <f>_xlfn.XLOOKUP(B12,Terméklista!$B$2:$B$103,Terméklista!$G$2:$G$103," ")</f>
        <v xml:space="preserve"> Z410</v>
      </c>
      <c r="G12" s="205">
        <v>5526</v>
      </c>
      <c r="H12" s="150">
        <v>500</v>
      </c>
      <c r="I12" s="8" t="d">
        <v>2025-01-21</v>
      </c>
      <c r="J12" s="8" t="d">
        <v>2025-01-22</v>
      </c>
      <c r="K12" s="8" t="d">
        <v>2025-01-22</v>
      </c>
      <c r="L12" s="208" t="s">
        <v>53</v>
      </c>
      <c r="N12" s="7">
        <f>IFERROR(_xlfn.XLOOKUP(B12,Terméklista!B10:B111,Terméklista!H10:H111)," ")</f>
        <v>0</v>
      </c>
      <c r="O12" s="147" t="str">
        <f>IFERROR(ROUNDUP(Rendelés[[#This Row],[Amount/pc]]/_xlfn.XLOOKUP(B12,Terméklista!$B$2:$B$103,Terméklista!$M$2:$M$103,),0)," ")</f>
        <v xml:space="preserve"> </v>
      </c>
      <c r="P12" t="str">
        <f>IFERROR(ROUNDUP(Rendelés[[#This Row],[Dobozok száma]]/_xlfn.XLOOKUP(B12,Terméklista!$B$2:$B$103,Terméklista!$N$2:$N$103,),0)," ")</f>
        <v xml:space="preserve"> </v>
      </c>
      <c r="Q12" s="145" t="str">
        <f>IFERROR(Rendelés[[#This Row],[Szükséges anyagmennyiség]]+(Rendelés[[#This Row],[Össz raklapok száma]]*25),"")</f>
        <v/>
      </c>
      <c r="R12" s="145" cm="1">
        <f t="array" ref="R12">(H12*_xlfn.XLOOKUP(B12,Terméklista!$B$2:$B$103,Terméklista!F$2:$F$103,))/1000</f>
        <v>11.17</v>
      </c>
      <c r="S12" s="153">
        <f>IFERROR(((H12/_xlfn.XLOOKUP(B12,Terméklista!$B$2:$B$103,Terméklista!$E$2:$E$103)*_xlfn.XLOOKUP(B12,Terméklista!$B$2:$B$103,Terméklista!$I$2:$I$103)))/3600," ")</f>
        <v>1.0416666666666667</v>
      </c>
    </row>
    <row r="13" spans="1:1189" hidden="1">
      <c r="A13" t="s">
        <v>156</v>
      </c>
      <c r="B13" s="34" t="s">
        <v>120</v>
      </c>
      <c r="C13" s="203" t="str">
        <f>IFERROR(_xlfn.XLOOKUP(B13,Terméklista!$B$2:$B$103,Terméklista!$C$2:$C$103,)," ")</f>
        <v>Zsanérbelső</v>
      </c>
      <c r="E13" s="34" t="s">
        <v>285</v>
      </c>
      <c r="F13" s="203" t="str">
        <f>_xlfn.XLOOKUP(B13,Terméklista!$B$2:$B$103,Terméklista!$G$2:$G$103," ")</f>
        <v xml:space="preserve"> Z410</v>
      </c>
      <c r="G13" s="205">
        <v>5526</v>
      </c>
      <c r="H13" s="150">
        <v>1000</v>
      </c>
      <c r="I13" s="8" t="d">
        <v>2025-01-21</v>
      </c>
      <c r="J13" s="8" t="d">
        <v>2025-01-22</v>
      </c>
      <c r="K13" s="8" t="d">
        <v>2025-01-22</v>
      </c>
      <c r="L13" s="208" t="s">
        <v>53</v>
      </c>
      <c r="N13" s="7">
        <f>IFERROR(_xlfn.XLOOKUP(B13,Terméklista!B11:B112,Terméklista!H11:H112)," ")</f>
        <v>0</v>
      </c>
      <c r="O13" s="147" t="str">
        <f>IFERROR(ROUNDUP(Rendelés[[#This Row],[Amount/pc]]/_xlfn.XLOOKUP(B13,Terméklista!$B$2:$B$103,Terméklista!$M$2:$M$103,),0)," ")</f>
        <v xml:space="preserve"> </v>
      </c>
      <c r="P13" t="str">
        <f>IFERROR(ROUNDUP(Rendelés[[#This Row],[Dobozok száma]]/_xlfn.XLOOKUP(B13,Terméklista!$B$2:$B$103,Terméklista!$N$2:$N$103,),0)," ")</f>
        <v xml:space="preserve"> </v>
      </c>
      <c r="Q13" s="145" t="str">
        <f>IFERROR(Rendelés[[#This Row],[Szükséges anyagmennyiség]]+(Rendelés[[#This Row],[Össz raklapok száma]]*25),"")</f>
        <v/>
      </c>
      <c r="R13" s="145" cm="1">
        <f t="array" ref="R13">(H13*_xlfn.XLOOKUP(B13,Terméklista!$B$2:$B$103,Terméklista!F$2:$F$103,))/1000</f>
        <v>15</v>
      </c>
      <c r="S13" s="153">
        <f>IFERROR(((H13/_xlfn.XLOOKUP(B13,Terméklista!$B$2:$B$103,Terméklista!$E$2:$E$103)*_xlfn.XLOOKUP(B13,Terméklista!$B$2:$B$103,Terméklista!$I$2:$I$103)))/3600," ")</f>
        <v>2.0833333333333335</v>
      </c>
    </row>
    <row r="14" spans="1:1189" s="212" customFormat="1" hidden="1">
      <c r="A14" t="s">
        <v>156</v>
      </c>
      <c r="B14" s="34" t="s">
        <v>122</v>
      </c>
      <c r="C14" s="203" t="str">
        <f>IFERROR(_xlfn.XLOOKUP(B14,Terméklista!$B$2:$B$103,Terméklista!$C$2:$C$103,)," ")</f>
        <v>Zsanérkülső</v>
      </c>
      <c r="D14" s="7"/>
      <c r="E14" s="34" t="s">
        <v>286</v>
      </c>
      <c r="F14" s="203" t="str">
        <f>_xlfn.XLOOKUP(B14,Terméklista!$B$2:$B$103,Terméklista!$G$2:$G$103," ")</f>
        <v xml:space="preserve"> Z410</v>
      </c>
      <c r="G14" s="205">
        <v>5526</v>
      </c>
      <c r="H14" s="150">
        <v>1000</v>
      </c>
      <c r="I14" s="8" t="d">
        <v>2025-01-21</v>
      </c>
      <c r="J14" s="8" t="d">
        <v>2025-01-22</v>
      </c>
      <c r="K14" s="8" t="d">
        <v>2025-01-22</v>
      </c>
      <c r="L14" s="34" t="s">
        <v>53</v>
      </c>
      <c r="M14" s="34"/>
      <c r="N14" s="7">
        <f>IFERROR(_xlfn.XLOOKUP(B14,Terméklista!B12:B113,Terméklista!H12:H113)," ")</f>
        <v>0</v>
      </c>
      <c r="O14" s="147" t="str">
        <f>IFERROR(ROUNDUP(Rendelés[[#This Row],[Amount/pc]]/_xlfn.XLOOKUP(B14,Terméklista!$B$2:$B$103,Terméklista!$M$2:$M$103,),0)," ")</f>
        <v xml:space="preserve"> </v>
      </c>
      <c r="P14" t="str">
        <f>IFERROR(ROUNDUP(Rendelés[[#This Row],[Dobozok száma]]/_xlfn.XLOOKUP(B14,Terméklista!$B$2:$B$103,Terméklista!$N$2:$N$103,),0)," ")</f>
        <v xml:space="preserve"> </v>
      </c>
      <c r="Q14" s="145" t="str">
        <f>IFERROR(Rendelés[[#This Row],[Szükséges anyagmennyiség]]+(Rendelés[[#This Row],[Össz raklapok száma]]*25),"")</f>
        <v/>
      </c>
      <c r="R14" s="145" cm="1">
        <f t="array" ref="R14">(H14*_xlfn.XLOOKUP(B14,Terméklista!$B$2:$B$103,Terméklista!F$2:$F$103,))/1000</f>
        <v>20.8</v>
      </c>
      <c r="S14" s="153">
        <f>IFERROR(((H14/_xlfn.XLOOKUP(B14,Terméklista!$B$2:$B$103,Terméklista!$E$2:$E$103)*_xlfn.XLOOKUP(B14,Terméklista!$B$2:$B$103,Terméklista!$I$2:$I$103)))/3600," ")</f>
        <v>2.0833333333333335</v>
      </c>
      <c r="T14" t="s">
        <v>341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</row>
    <row r="15" spans="1:1189" hidden="1">
      <c r="A15" t="s">
        <v>159</v>
      </c>
      <c r="B15" s="34" t="s">
        <v>51</v>
      </c>
      <c r="C15" s="203">
        <f>IFERROR(_xlfn.XLOOKUP(B15,Terméklista!$B$2:$B$103,Terméklista!$C$2:$C$103,)," ")</f>
        <v>0</v>
      </c>
      <c r="E15" s="34" t="s">
        <v>362</v>
      </c>
      <c r="F15" s="203" t="str">
        <f>_xlfn.XLOOKUP(B15,Terméklista!$B$2:$B$103,Terméklista!$G$2:$G$103," ")</f>
        <v>Műanyag</v>
      </c>
      <c r="G15" s="205" t="s">
        <v>52</v>
      </c>
      <c r="H15" s="150">
        <v>140000</v>
      </c>
      <c r="I15" s="8" t="d">
        <v>2025-01-21</v>
      </c>
      <c r="K15" s="8" t="d">
        <v>2025-03-19</v>
      </c>
      <c r="L15" s="34" t="s">
        <v>53</v>
      </c>
      <c r="N15" s="7" t="str">
        <f>IFERROR(_xlfn.XLOOKUP(B15,Terméklista!B32:B133,Terméklista!H32:H133)," ")</f>
        <v xml:space="preserve"> </v>
      </c>
      <c r="O15" s="147" t="str">
        <f>IFERROR(ROUNDUP(Rendelés[[#This Row],[Amount/pc]]/_xlfn.XLOOKUP(B15,Terméklista!$B$2:$B$103,Terméklista!$M$2:$M$103,),0)," ")</f>
        <v xml:space="preserve"> </v>
      </c>
      <c r="P15" t="str">
        <f>IFERROR(ROUNDUP(Rendelés[[#This Row],[Dobozok száma]]/_xlfn.XLOOKUP(B15,Terméklista!$B$2:$B$103,Terméklista!$N$2:$N$103,),0)," ")</f>
        <v xml:space="preserve"> </v>
      </c>
      <c r="Q15" s="145" t="str">
        <f>IFERROR(Rendelés[[#This Row],[Szükséges anyagmennyiség]]+(Rendelés[[#This Row],[Össz raklapok száma]]*25),"")</f>
        <v/>
      </c>
      <c r="R15" s="144" cm="1">
        <f t="array" ref="R15">(H15*_xlfn.XLOOKUP(B15,Terméklista!$B$2:$B$103,Terméklista!F$2:$F$103,))/1000</f>
        <v>31.5</v>
      </c>
      <c r="S15" s="153">
        <f>IFERROR(((H15/_xlfn.XLOOKUP(B15,Terméklista!$B$2:$B$103,Terméklista!$E$2:$E$103)*_xlfn.XLOOKUP(B15,Terméklista!$B$2:$B$103,Terméklista!$I$2:$I$103)))/3600," ")</f>
        <v>126.38888888888889</v>
      </c>
    </row>
    <row r="16" spans="1:1189" hidden="1">
      <c r="A16" s="212" t="s">
        <v>180</v>
      </c>
      <c r="B16" s="213" t="s">
        <v>19</v>
      </c>
      <c r="C16" s="214" t="str">
        <f>IFERROR(_xlfn.XLOOKUP(B16,Terméklista!$B$2:$B$103,Terméklista!$C$2:$C$103,)," ")</f>
        <v>Zamak Gewicht</v>
      </c>
      <c r="D16" s="214"/>
      <c r="E16" s="213" t="s">
        <v>287</v>
      </c>
      <c r="F16" s="214" t="str">
        <f>_xlfn.XLOOKUP(B16,Terméklista!$B$2:$B$103,Terméklista!$G$2:$G$103," ")</f>
        <v xml:space="preserve"> Z410</v>
      </c>
      <c r="G16" s="215">
        <v>4500099914</v>
      </c>
      <c r="H16" s="216">
        <v>150000</v>
      </c>
      <c r="I16" s="217" t="d">
        <v>2025-01-22</v>
      </c>
      <c r="J16" s="217" t="d">
        <v>2025-03-24</v>
      </c>
      <c r="K16" s="217"/>
      <c r="L16" s="213" t="s">
        <v>53</v>
      </c>
      <c r="M16" s="213"/>
      <c r="N16" s="214">
        <f>IFERROR(_xlfn.XLOOKUP(B16,Terméklista!B13:B114,Terméklista!H13:H114)," ")</f>
        <v>0</v>
      </c>
      <c r="O16" s="218">
        <f>IFERROR(ROUNDUP(Rendelés[[#This Row],[Amount/pc]]/_xlfn.XLOOKUP(B16,Terméklista!$B$2:$B$103,Terméklista!$M$2:$M$103,),0)," ")</f>
        <v>429</v>
      </c>
      <c r="P16" s="212">
        <f>IFERROR(ROUNDUP(Rendelés[[#This Row],[Dobozok száma]]/_xlfn.XLOOKUP(B16,Terméklista!$B$2:$B$103,Terméklista!$N$2:$N$103,),0)," ")</f>
        <v>15</v>
      </c>
      <c r="Q16" s="219">
        <f>IFERROR(Rendelés[[#This Row],[Szükséges anyagmennyiség]]+(Rendelés[[#This Row],[Össz raklapok száma]]*25),"")</f>
        <v>4653</v>
      </c>
      <c r="R16" s="219" cm="1">
        <f t="array" ref="R16">(H16*_xlfn.XLOOKUP(B16,Terméklista!$B$2:$B$103,Terméklista!F$2:$F$103,))/1000</f>
        <v>4278</v>
      </c>
      <c r="S16" s="220">
        <f>IFERROR(((H16/_xlfn.XLOOKUP(B16,Terméklista!$B$2:$B$103,Terméklista!$E$2:$E$103)*_xlfn.XLOOKUP(B16,Terméklista!$B$2:$B$103,Terméklista!$I$2:$I$103)))/3600," ")</f>
        <v>208.33333333333334</v>
      </c>
      <c r="T16" s="212" t="s">
        <v>367</v>
      </c>
    </row>
    <row r="17" spans="1:1189" hidden="1">
      <c r="A17" t="s">
        <v>156</v>
      </c>
      <c r="B17" s="34" t="s">
        <v>97</v>
      </c>
      <c r="C17" s="203" t="str">
        <f>IFERROR(_xlfn.XLOOKUP(B17,Terméklista!$B$2:$B$103,Terméklista!$C$2:$C$103,)," ")</f>
        <v>zárház</v>
      </c>
      <c r="E17" s="34" t="s">
        <v>288</v>
      </c>
      <c r="F17" s="203" t="str">
        <f>_xlfn.XLOOKUP(B17,Terméklista!$B$2:$B$103,Terméklista!$G$2:$G$103," ")</f>
        <v xml:space="preserve"> Z410</v>
      </c>
      <c r="G17" s="205">
        <v>5535</v>
      </c>
      <c r="H17" s="150">
        <v>1000</v>
      </c>
      <c r="I17" s="8" t="d">
        <v>2025-01-23</v>
      </c>
      <c r="J17" s="8" t="d">
        <v>2025-01-29</v>
      </c>
      <c r="K17" s="8" t="d">
        <v>2025-02-03</v>
      </c>
      <c r="L17" s="34" t="s">
        <v>53</v>
      </c>
      <c r="N17" s="7">
        <f>IFERROR(_xlfn.XLOOKUP(B17,Terméklista!B14:B115,Terméklista!H14:H115)," ")</f>
        <v>0</v>
      </c>
      <c r="O17" s="147" t="str">
        <f>IFERROR(ROUNDUP(Rendelés[[#This Row],[Amount/pc]]/_xlfn.XLOOKUP(B17,Terméklista!$B$2:$B$103,Terméklista!$M$2:$M$103,),0)," ")</f>
        <v xml:space="preserve"> </v>
      </c>
      <c r="P17" t="str">
        <f>IFERROR(ROUNDUP(Rendelés[[#This Row],[Dobozok száma]]/_xlfn.XLOOKUP(B17,Terméklista!$B$2:$B$103,Terméklista!$N$2:$N$103,),0)," ")</f>
        <v xml:space="preserve"> </v>
      </c>
      <c r="Q17" s="145" t="str">
        <f>IFERROR(Rendelés[[#This Row],[Szükséges anyagmennyiség]]+(Rendelés[[#This Row],[Össz raklapok száma]]*25),"")</f>
        <v/>
      </c>
      <c r="R17" s="145" cm="1">
        <f t="array" ref="R17">(H17*_xlfn.XLOOKUP(B17,Terméklista!$B$2:$B$103,Terméklista!F$2:$F$103,))/1000</f>
        <v>24.5</v>
      </c>
      <c r="S17" s="153">
        <f>IFERROR(((H17/_xlfn.XLOOKUP(B17,Terméklista!$B$2:$B$103,Terméklista!$E$2:$E$103)*_xlfn.XLOOKUP(B17,Terméklista!$B$2:$B$103,Terméklista!$I$2:$I$103)))/3600," ")</f>
        <v>2.0833333333333335</v>
      </c>
    </row>
    <row r="18" spans="1:1189" s="212" customFormat="1" hidden="1">
      <c r="A18" t="s">
        <v>182</v>
      </c>
      <c r="B18" s="34" t="s">
        <v>57</v>
      </c>
      <c r="C18" s="203" t="str">
        <f>IFERROR(_xlfn.XLOOKUP(B18,Terméklista!$B$2:$B$103,Terméklista!$C$2:$C$103,)," ")</f>
        <v xml:space="preserve"> </v>
      </c>
      <c r="D18" s="7"/>
      <c r="E18" s="34" t="s">
        <v>289</v>
      </c>
      <c r="F18" s="203" t="str">
        <f>_xlfn.XLOOKUP(B18,Terméklista!$B$2:$B$103,Terméklista!$G$2:$G$103," ")</f>
        <v xml:space="preserve"> </v>
      </c>
      <c r="G18" s="205">
        <v>26449</v>
      </c>
      <c r="H18" s="150">
        <v>5000</v>
      </c>
      <c r="I18" s="8" t="d">
        <v>2025-01-27</v>
      </c>
      <c r="J18" s="8" t="d">
        <v>2025-02-19</v>
      </c>
      <c r="K18" s="8" t="d">
        <v>2025-02-21</v>
      </c>
      <c r="L18" s="34" t="s">
        <v>53</v>
      </c>
      <c r="M18" s="34"/>
      <c r="N18" s="7" t="str">
        <f>IFERROR(_xlfn.XLOOKUP(B18,Terméklista!B15:B116,Terméklista!H15:H116)," ")</f>
        <v xml:space="preserve"> </v>
      </c>
      <c r="O18" s="147" t="str">
        <f>IFERROR(ROUNDUP(Rendelés[[#This Row],[Amount/pc]]/_xlfn.XLOOKUP(B18,Terméklista!$B$2:$B$103,Terméklista!$M$2:$M$103,),0)," ")</f>
        <v xml:space="preserve"> </v>
      </c>
      <c r="P18" t="str">
        <f>IFERROR(ROUNDUP(Rendelés[[#This Row],[Dobozok száma]]/_xlfn.XLOOKUP(B18,Terméklista!$B$2:$B$103,Terméklista!$N$2:$N$103,),0)," ")</f>
        <v xml:space="preserve"> </v>
      </c>
      <c r="Q18" s="145" t="str">
        <f>IFERROR(Rendelés[[#This Row],[Szükséges anyagmennyiség]]+(Rendelés[[#This Row],[Össz raklapok száma]]*25),"")</f>
        <v/>
      </c>
      <c r="R18" s="145" t="e" cm="1">
        <f t="array" ref="R18">(H18*_xlfn.XLOOKUP(B18,Terméklista!$B$2:$B$103,Terméklista!F$2:$F$103,))/1000</f>
        <v>#N/A</v>
      </c>
      <c r="S18" s="153" t="str">
        <f>IFERROR(((H18/_xlfn.XLOOKUP(B18,Terméklista!$B$2:$B$103,Terméklista!$E$2:$E$103)*_xlfn.XLOOKUP(B18,Terméklista!$B$2:$B$103,Terméklista!$I$2:$I$103)))/3600," ")</f>
        <v xml:space="preserve"> 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</row>
    <row r="19" spans="1:1189" hidden="1">
      <c r="A19" t="s">
        <v>182</v>
      </c>
      <c r="B19" s="34" t="s">
        <v>39</v>
      </c>
      <c r="C19" s="203" t="str">
        <f>IFERROR(_xlfn.XLOOKUP(B19,Terméklista!$B$2:$B$103,Terméklista!$C$2:$C$103,)," ")</f>
        <v xml:space="preserve"> </v>
      </c>
      <c r="E19" s="34" t="s">
        <v>290</v>
      </c>
      <c r="F19" s="203" t="str">
        <f>_xlfn.XLOOKUP(B19,Terméklista!$B$2:$B$103,Terméklista!$G$2:$G$103," ")</f>
        <v xml:space="preserve"> </v>
      </c>
      <c r="G19" s="205">
        <v>26452</v>
      </c>
      <c r="H19" s="150">
        <v>20000</v>
      </c>
      <c r="I19" s="8" t="d">
        <v>2025-01-27</v>
      </c>
      <c r="J19" s="8" t="d">
        <v>2025-03-05</v>
      </c>
      <c r="K19" s="8" t="d">
        <v>2025-02-21</v>
      </c>
      <c r="L19" s="34" t="s">
        <v>53</v>
      </c>
      <c r="N19" s="7" t="str">
        <f>IFERROR(_xlfn.XLOOKUP(B19,Terméklista!B16:B117,Terméklista!H16:H117)," ")</f>
        <v xml:space="preserve"> </v>
      </c>
      <c r="O19" s="147" t="str">
        <f>IFERROR(ROUNDUP(Rendelés[[#This Row],[Amount/pc]]/_xlfn.XLOOKUP(B19,Terméklista!$B$2:$B$103,Terméklista!$M$2:$M$103,),0)," ")</f>
        <v xml:space="preserve"> </v>
      </c>
      <c r="P19" t="str">
        <f>IFERROR(ROUNDUP(Rendelés[[#This Row],[Dobozok száma]]/_xlfn.XLOOKUP(B19,Terméklista!$B$2:$B$103,Terméklista!$N$2:$N$103,),0)," ")</f>
        <v xml:space="preserve"> </v>
      </c>
      <c r="Q19" s="145" t="str">
        <f>IFERROR(Rendelés[[#This Row],[Szükséges anyagmennyiség]]+(Rendelés[[#This Row],[Össz raklapok száma]]*25),"")</f>
        <v/>
      </c>
      <c r="R19" s="145" t="e" cm="1">
        <f t="array" ref="R19">(H19*_xlfn.XLOOKUP(B19,Terméklista!$B$2:$B$103,Terméklista!F$2:$F$103,))/1000</f>
        <v>#N/A</v>
      </c>
      <c r="S19" s="153" t="str">
        <f>IFERROR(((H19/_xlfn.XLOOKUP(B19,Terméklista!$B$2:$B$103,Terméklista!$E$2:$E$103)*_xlfn.XLOOKUP(B19,Terméklista!$B$2:$B$103,Terméklista!$I$2:$I$103)))/3600," ")</f>
        <v xml:space="preserve"> </v>
      </c>
      <c r="T19" t="s">
        <v>341</v>
      </c>
    </row>
    <row r="20" spans="1:1189" hidden="1">
      <c r="A20" s="212" t="s">
        <v>180</v>
      </c>
      <c r="B20" s="213" t="s">
        <v>43</v>
      </c>
      <c r="C20" s="214" t="str">
        <f>IFERROR(_xlfn.XLOOKUP(B20,Terméklista!$B$2:$B$103,Terméklista!$C$2:$C$103,)," ")</f>
        <v>Zamak Gewicht</v>
      </c>
      <c r="D20" s="214"/>
      <c r="E20" s="213" t="s">
        <v>291</v>
      </c>
      <c r="F20" s="214" t="str">
        <f>_xlfn.XLOOKUP(B20,Terméklista!$B$2:$B$103,Terméklista!$G$2:$G$103," ")</f>
        <v xml:space="preserve"> Z410</v>
      </c>
      <c r="G20" s="215">
        <v>4500100205</v>
      </c>
      <c r="H20" s="216">
        <v>24000</v>
      </c>
      <c r="I20" s="217" t="d">
        <v>2025-02-11</v>
      </c>
      <c r="J20" s="217" t="d">
        <v>2025-03-26</v>
      </c>
      <c r="K20" s="217"/>
      <c r="L20" s="213" t="s">
        <v>53</v>
      </c>
      <c r="M20" s="213"/>
      <c r="N20" s="214">
        <f>IFERROR(_xlfn.XLOOKUP(B20,Terméklista!B17:B118,Terméklista!H17:H118)," ")</f>
        <v>0</v>
      </c>
      <c r="O20" s="218">
        <f>IFERROR(ROUNDUP(Rendelés[[#This Row],[Amount/pc]]/_xlfn.XLOOKUP(B20,Terméklista!$B$2:$B$103,Terméklista!$M$2:$M$103,),0)," ")</f>
        <v>24</v>
      </c>
      <c r="P20" s="212">
        <f>IFERROR(ROUNDUP(Rendelés[[#This Row],[Dobozok száma]]/_xlfn.XLOOKUP(B20,Terméklista!$B$2:$B$103,Terméklista!$N$2:$N$103,),0)," ")</f>
        <v>1</v>
      </c>
      <c r="Q20" s="219">
        <f>IFERROR(Rendelés[[#This Row],[Szükséges anyagmennyiség]]+(Rendelés[[#This Row],[Össz raklapok száma]]*25),"")</f>
        <v>217</v>
      </c>
      <c r="R20" s="219" cm="1">
        <f t="array" ref="R20">(H20*_xlfn.XLOOKUP(B20,Terméklista!$B$2:$B$103,Terméklista!F$2:$F$103,))/1000</f>
        <v>192</v>
      </c>
      <c r="S20" s="220">
        <f>IFERROR(((H20/_xlfn.XLOOKUP(B20,Terméklista!$B$2:$B$103,Terméklista!$E$2:$E$103)*_xlfn.XLOOKUP(B20,Terméklista!$B$2:$B$103,Terméklista!$I$2:$I$103)))/3600," ")</f>
        <v>8.3333333333333339</v>
      </c>
      <c r="T20" s="212" t="s">
        <v>367</v>
      </c>
    </row>
    <row r="21" spans="1:1189" s="212" customFormat="1" hidden="1">
      <c r="A21" s="212" t="s">
        <v>182</v>
      </c>
      <c r="B21" s="213" t="s">
        <v>28</v>
      </c>
      <c r="C21" s="214" t="str">
        <f>IFERROR(_xlfn.XLOOKUP(B21,Terméklista!$B$2:$B$103,Terméklista!$C$2:$C$103,)," ")</f>
        <v xml:space="preserve"> </v>
      </c>
      <c r="D21" s="214"/>
      <c r="E21" s="213" t="s">
        <v>294</v>
      </c>
      <c r="F21" s="214" t="str">
        <f>_xlfn.XLOOKUP(B21,Terméklista!$B$2:$B$103,Terméklista!$G$2:$G$103," ")</f>
        <v xml:space="preserve"> </v>
      </c>
      <c r="G21" s="215">
        <v>26514</v>
      </c>
      <c r="H21" s="216">
        <v>10000</v>
      </c>
      <c r="I21" s="217" t="d">
        <v>2025-02-12</v>
      </c>
      <c r="J21" s="217" t="d">
        <v>2025-03-27</v>
      </c>
      <c r="K21" s="217"/>
      <c r="L21" s="213" t="s">
        <v>53</v>
      </c>
      <c r="M21" s="213"/>
      <c r="N21" s="214" t="str">
        <f>IFERROR(_xlfn.XLOOKUP(B21,Terméklista!B20:B121,Terméklista!H20:H121)," ")</f>
        <v xml:space="preserve"> </v>
      </c>
      <c r="O21" s="218" t="str">
        <f>IFERROR(ROUNDUP(Rendelés[[#This Row],[Amount/pc]]/_xlfn.XLOOKUP(B21,Terméklista!$B$2:$B$103,Terméklista!$M$2:$M$103,),0)," ")</f>
        <v xml:space="preserve"> </v>
      </c>
      <c r="P21" s="212" t="str">
        <f>IFERROR(ROUNDUP(Rendelés[[#This Row],[Dobozok száma]]/_xlfn.XLOOKUP(B21,Terméklista!$B$2:$B$103,Terméklista!$N$2:$N$103,),0)," ")</f>
        <v xml:space="preserve"> </v>
      </c>
      <c r="Q21" s="219" t="str">
        <f>IFERROR(Rendelés[[#This Row],[Szükséges anyagmennyiség]]+(Rendelés[[#This Row],[Össz raklapok száma]]*25),"")</f>
        <v/>
      </c>
      <c r="R21" s="219" t="e" cm="1">
        <f t="array" ref="R21">(H21*_xlfn.XLOOKUP(B21,Terméklista!$B$2:$B$103,Terméklista!F$2:$F$103,))/1000</f>
        <v>#N/A</v>
      </c>
      <c r="S21" s="220" t="str">
        <f>IFERROR(((H21/_xlfn.XLOOKUP(B21,Terméklista!$B$2:$B$103,Terméklista!$E$2:$E$103)*_xlfn.XLOOKUP(B21,Terméklista!$B$2:$B$103,Terméklista!$I$2:$I$103)))/3600," ")</f>
        <v xml:space="preserve"> </v>
      </c>
      <c r="T21" s="212" t="s">
        <v>341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</row>
    <row r="22" spans="1:1189" s="212" customFormat="1" hidden="1">
      <c r="A22" t="s">
        <v>156</v>
      </c>
      <c r="B22" s="34" t="s">
        <v>146</v>
      </c>
      <c r="C22" s="203" t="str">
        <f>IFERROR(_xlfn.XLOOKUP(B22,Terméklista!$B$2:$B$103,Terméklista!$C$2:$C$103,)," ")</f>
        <v>zsanértest</v>
      </c>
      <c r="D22" s="7"/>
      <c r="E22" s="34" t="s">
        <v>293</v>
      </c>
      <c r="F22" s="203" t="str">
        <f>_xlfn.XLOOKUP(B22,Terméklista!$B$2:$B$103,Terméklista!$G$2:$G$103," ")</f>
        <v xml:space="preserve"> Z410</v>
      </c>
      <c r="G22" s="205">
        <v>5577</v>
      </c>
      <c r="H22" s="150">
        <v>200</v>
      </c>
      <c r="I22" s="8" t="d">
        <v>2025-02-13</v>
      </c>
      <c r="J22" s="8" t="d">
        <v>2025-02-20</v>
      </c>
      <c r="K22" s="8" t="d">
        <v>2025-02-21</v>
      </c>
      <c r="L22" s="208" t="s">
        <v>53</v>
      </c>
      <c r="M22" s="34"/>
      <c r="N22" s="7">
        <f>IFERROR(_xlfn.XLOOKUP(B22,Terméklista!B19:B120,Terméklista!H19:H120)," ")</f>
        <v>0</v>
      </c>
      <c r="O22" s="147" t="str">
        <f>IFERROR(ROUNDUP(Rendelés[[#This Row],[Amount/pc]]/_xlfn.XLOOKUP(B22,Terméklista!$B$2:$B$103,Terméklista!$M$2:$M$103,),0)," ")</f>
        <v xml:space="preserve"> </v>
      </c>
      <c r="P22" t="str">
        <f>IFERROR(ROUNDUP(Rendelés[[#This Row],[Dobozok száma]]/_xlfn.XLOOKUP(B22,Terméklista!$B$2:$B$103,Terméklista!$N$2:$N$103,),0)," ")</f>
        <v xml:space="preserve"> </v>
      </c>
      <c r="Q22" s="145" t="str">
        <f>IFERROR(Rendelés[[#This Row],[Szükséges anyagmennyiség]]+(Rendelés[[#This Row],[Össz raklapok száma]]*25),"")</f>
        <v/>
      </c>
      <c r="R22" s="145" cm="1">
        <f t="array" ref="R22">(H22*_xlfn.XLOOKUP(B22,Terméklista!$B$2:$B$103,Terméklista!F$2:$F$103,))/1000</f>
        <v>14</v>
      </c>
      <c r="S22" s="153">
        <f>IFERROR(((H22/_xlfn.XLOOKUP(B22,Terméklista!$B$2:$B$103,Terméklista!$E$2:$E$103)*_xlfn.XLOOKUP(B22,Terméklista!$B$2:$B$103,Terméklista!$I$2:$I$103)))/3600," ")</f>
        <v>0.41666666666666669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</row>
    <row r="23" spans="1:1189" s="212" customFormat="1" hidden="1">
      <c r="A23" s="212" t="s">
        <v>180</v>
      </c>
      <c r="B23" s="213" t="s">
        <v>17</v>
      </c>
      <c r="C23" s="214" t="str">
        <f>IFERROR(_xlfn.XLOOKUP(B23,Terméklista!$B$2:$B$103,Terméklista!$C$2:$C$103,)," ")</f>
        <v>Zamak Gewicht</v>
      </c>
      <c r="D23" s="214"/>
      <c r="E23" s="213" t="s">
        <v>295</v>
      </c>
      <c r="F23" s="203" t="str">
        <f>_xlfn.XLOOKUP(B23,Terméklista!$B$2:$B$103,Terméklista!$G$2:$G$103," ")</f>
        <v xml:space="preserve"> Z410</v>
      </c>
      <c r="G23" s="215">
        <v>4500100294</v>
      </c>
      <c r="H23" s="216">
        <v>50000</v>
      </c>
      <c r="I23" s="217" t="d">
        <v>2025-02-17</v>
      </c>
      <c r="J23" s="217" t="d">
        <v>2025-05-26</v>
      </c>
      <c r="K23" s="217" t="d">
        <v>2025-05-14</v>
      </c>
      <c r="L23" s="213" t="s">
        <v>53</v>
      </c>
      <c r="M23" s="213"/>
      <c r="N23" s="214">
        <f>IFERROR(_xlfn.XLOOKUP(B23,Terméklista!B21:B122,Terméklista!H21:H122)," ")</f>
        <v>0</v>
      </c>
      <c r="O23" s="218">
        <f>IFERROR(ROUNDUP(Rendelés[[#This Row],[Amount/pc]]/_xlfn.XLOOKUP(B23,Terméklista!$B$2:$B$103,Terméklista!$M$2:$M$103,),0)," ")</f>
        <v>143</v>
      </c>
      <c r="P23" s="212">
        <f>IFERROR(ROUNDUP(Rendelés[[#This Row],[Dobozok száma]]/_xlfn.XLOOKUP(B23,Terméklista!$B$2:$B$103,Terméklista!$N$2:$N$103,),0)," ")</f>
        <v>2</v>
      </c>
      <c r="Q23" s="219">
        <f>IFERROR(Rendelés[[#This Row],[Szükséges anyagmennyiség]]+(Rendelés[[#This Row],[Össz raklapok száma]]*25),"")</f>
        <v>900</v>
      </c>
      <c r="R23" s="219" cm="1">
        <f t="array" ref="R23">(H23*_xlfn.XLOOKUP(B23,Terméklista!$B$2:$B$103,Terméklista!F$2:$F$103,))/1000</f>
        <v>850</v>
      </c>
      <c r="S23" s="220">
        <f>IFERROR(((H23/_xlfn.XLOOKUP(B23,Terméklista!$B$2:$B$103,Terméklista!$E$2:$E$103)*_xlfn.XLOOKUP(B23,Terméklista!$B$2:$B$103,Terméklista!$I$2:$I$103)))/3600," ")</f>
        <v>34.722222222222221</v>
      </c>
      <c r="T23" s="212" t="s">
        <v>406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</row>
    <row r="24" spans="1:1189" s="212" customFormat="1" hidden="1">
      <c r="A24" s="212" t="s">
        <v>165</v>
      </c>
      <c r="B24" s="213" t="s">
        <v>55</v>
      </c>
      <c r="C24" s="214">
        <f>IFERROR(_xlfn.XLOOKUP(B24,Terméklista!$B$2:$B$103,Terméklista!$C$2:$C$103,)," ")</f>
        <v>0</v>
      </c>
      <c r="D24" s="214"/>
      <c r="E24" s="213" t="s">
        <v>296</v>
      </c>
      <c r="F24" s="214" t="str">
        <f>_xlfn.XLOOKUP(B24,Terméklista!$B$2:$B$103,Terméklista!$G$2:$G$103," ")</f>
        <v xml:space="preserve"> Z410</v>
      </c>
      <c r="G24" s="215" t="s">
        <v>54</v>
      </c>
      <c r="H24" s="216">
        <v>30000</v>
      </c>
      <c r="I24" s="217" t="d">
        <v>2025-02-17</v>
      </c>
      <c r="J24" s="217" t="d">
        <v>2025-04-16</v>
      </c>
      <c r="K24" s="217"/>
      <c r="L24" s="213" t="s">
        <v>53</v>
      </c>
      <c r="M24" s="213" t="s">
        <v>472</v>
      </c>
      <c r="N24" s="214">
        <f>IFERROR(_xlfn.XLOOKUP(B24,Terméklista!B22:B123,Terméklista!H22:H123)," ")</f>
        <v>0</v>
      </c>
      <c r="O24" s="218" t="str">
        <f>IFERROR(ROUNDUP(Rendelés[[#This Row],[Amount/pc]]/_xlfn.XLOOKUP(B24,Terméklista!$B$2:$B$103,Terméklista!$M$2:$M$103,),0)," ")</f>
        <v xml:space="preserve"> </v>
      </c>
      <c r="P24" s="212" t="str">
        <f>IFERROR(ROUNDUP(Rendelés[[#This Row],[Dobozok száma]]/_xlfn.XLOOKUP(B24,Terméklista!$B$2:$B$103,Terméklista!$N$2:$N$103,),0)," ")</f>
        <v xml:space="preserve"> </v>
      </c>
      <c r="Q24" s="219" t="str">
        <f>IFERROR(Rendelés[[#This Row],[Szükséges anyagmennyiség]]+(Rendelés[[#This Row],[Össz raklapok száma]]*25),"")</f>
        <v/>
      </c>
      <c r="R24" s="219" cm="1">
        <f t="array" ref="R24">(H24*_xlfn.XLOOKUP(B24,Terméklista!$B$2:$B$103,Terméklista!F$2:$F$103,))/1000</f>
        <v>0</v>
      </c>
      <c r="S24" s="220" t="str">
        <f>IFERROR(((H24/_xlfn.XLOOKUP(B24,Terméklista!$B$2:$B$103,Terméklista!$E$2:$E$103)*_xlfn.XLOOKUP(B24,Terméklista!$B$2:$B$103,Terméklista!$I$2:$I$103)))/3600," ")</f>
        <v xml:space="preserve"> </v>
      </c>
      <c r="T24" s="212" t="s">
        <v>493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</row>
    <row r="25" spans="1:1189" s="212" customFormat="1" hidden="1">
      <c r="A25" s="212" t="s">
        <v>165</v>
      </c>
      <c r="B25" s="213" t="s">
        <v>56</v>
      </c>
      <c r="C25" s="214">
        <f>IFERROR(_xlfn.XLOOKUP(B25,Terméklista!$B$2:$B$103,Terméklista!$C$2:$C$103,)," ")</f>
        <v>0</v>
      </c>
      <c r="D25" s="214"/>
      <c r="E25" s="213" t="s">
        <v>297</v>
      </c>
      <c r="F25" s="214" t="str">
        <f>_xlfn.XLOOKUP(B25,Terméklista!$B$2:$B$103,Terméklista!$G$2:$G$103," ")</f>
        <v xml:space="preserve"> Z410</v>
      </c>
      <c r="G25" s="215" t="s">
        <v>54</v>
      </c>
      <c r="H25" s="216">
        <v>30000</v>
      </c>
      <c r="I25" s="217" t="d">
        <v>2025-02-17</v>
      </c>
      <c r="J25" s="217" t="d">
        <v>2025-04-16</v>
      </c>
      <c r="K25" s="217"/>
      <c r="L25" s="213" t="s">
        <v>53</v>
      </c>
      <c r="M25" s="213" t="s">
        <v>472</v>
      </c>
      <c r="N25" s="214">
        <f>IFERROR(_xlfn.XLOOKUP(B25,Terméklista!B23:B124,Terméklista!H23:H124)," ")</f>
        <v>0</v>
      </c>
      <c r="O25" s="218" t="str">
        <f>IFERROR(ROUNDUP(Rendelés[[#This Row],[Amount/pc]]/_xlfn.XLOOKUP(B25,Terméklista!$B$2:$B$103,Terméklista!$M$2:$M$103,),0)," ")</f>
        <v xml:space="preserve"> </v>
      </c>
      <c r="P25" s="212" t="str">
        <f>IFERROR(ROUNDUP(Rendelés[[#This Row],[Dobozok száma]]/_xlfn.XLOOKUP(B25,Terméklista!$B$2:$B$103,Terméklista!$N$2:$N$103,),0)," ")</f>
        <v xml:space="preserve"> </v>
      </c>
      <c r="Q25" s="219" t="str">
        <f>IFERROR(Rendelés[[#This Row],[Szükséges anyagmennyiség]]+(Rendelés[[#This Row],[Össz raklapok száma]]*25),"")</f>
        <v/>
      </c>
      <c r="R25" s="219" cm="1">
        <f t="array" ref="R25">(H25*_xlfn.XLOOKUP(B25,Terméklista!$B$2:$B$103,Terméklista!F$2:$F$103,))/1000</f>
        <v>0</v>
      </c>
      <c r="S25" s="220" t="str">
        <f>IFERROR(((H25/_xlfn.XLOOKUP(B25,Terméklista!$B$2:$B$103,Terméklista!$E$2:$E$103)*_xlfn.XLOOKUP(B25,Terméklista!$B$2:$B$103,Terméklista!$I$2:$I$103)))/3600," ")</f>
        <v xml:space="preserve"> </v>
      </c>
      <c r="T25" s="212" t="s">
        <v>493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</row>
    <row r="26" spans="1:1189" s="212" customFormat="1" hidden="1">
      <c r="A26" t="s">
        <v>156</v>
      </c>
      <c r="B26" s="34" t="s">
        <v>304</v>
      </c>
      <c r="C26" s="203">
        <f>IFERROR(_xlfn.XLOOKUP(B26,Terméklista!$B$2:$B$103,Terméklista!$C$2:$C$103,)," ")</f>
        <v>0</v>
      </c>
      <c r="D26" s="7"/>
      <c r="E26" s="34" t="s">
        <v>298</v>
      </c>
      <c r="F26" s="203" t="str">
        <f>_xlfn.XLOOKUP(B26,Terméklista!$B$2:$B$103,Terméklista!$G$2:$G$103," ")</f>
        <v xml:space="preserve"> Z410</v>
      </c>
      <c r="G26" s="205">
        <v>5585</v>
      </c>
      <c r="H26" s="150">
        <v>992</v>
      </c>
      <c r="I26" s="8" t="d">
        <v>2025-02-21</v>
      </c>
      <c r="J26" s="8" t="d">
        <v>2025-02-26</v>
      </c>
      <c r="K26" s="8" t="d">
        <v>2025-02-26</v>
      </c>
      <c r="L26" s="208" t="s">
        <v>53</v>
      </c>
      <c r="M26" s="34"/>
      <c r="N26" s="7">
        <f>IFERROR(_xlfn.XLOOKUP(B26,Terméklista!B24:B125,Terméklista!H24:H125)," ")</f>
        <v>0</v>
      </c>
      <c r="O26" s="147" t="str">
        <f>IFERROR(ROUNDUP(Rendelés[[#This Row],[Amount/pc]]/_xlfn.XLOOKUP(B26,Terméklista!$B$2:$B$103,Terméklista!$M$2:$M$103,),0)," ")</f>
        <v xml:space="preserve"> </v>
      </c>
      <c r="P26" t="str">
        <f>IFERROR(ROUNDUP(Rendelés[[#This Row],[Dobozok száma]]/_xlfn.XLOOKUP(B26,Terméklista!$B$2:$B$103,Terméklista!$N$2:$N$103,),0)," ")</f>
        <v xml:space="preserve"> </v>
      </c>
      <c r="Q26" s="142" t="str">
        <f>IFERROR(Rendelés[[#This Row],[Szükséges anyagmennyiség]]+(Rendelés[[#This Row],[Össz raklapok száma]]*25),"")</f>
        <v/>
      </c>
      <c r="R26" s="142" cm="1">
        <f t="array" ref="R26">(H26*_xlfn.XLOOKUP(B26,Terméklista!$B$2:$B$103,Terméklista!F$2:$F$103,))/1000</f>
        <v>2.8668800000000001</v>
      </c>
      <c r="S26" s="153" t="str">
        <f>IFERROR(((H26/_xlfn.XLOOKUP(B26,Terméklista!$B$2:$B$103,Terméklista!$E$2:$E$103)*_xlfn.XLOOKUP(B26,Terméklista!$B$2:$B$103,Terméklista!$I$2:$I$103)))/3600," ")</f>
        <v xml:space="preserve"> 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</row>
    <row r="27" spans="1:1189" s="212" customFormat="1" hidden="1">
      <c r="A27" s="212" t="s">
        <v>180</v>
      </c>
      <c r="B27" s="213" t="s">
        <v>19</v>
      </c>
      <c r="C27" s="214" t="str">
        <f>IFERROR(_xlfn.XLOOKUP(B27,Terméklista!$B$2:$B$103,Terméklista!$C$2:$C$103,)," ")</f>
        <v>Zamak Gewicht</v>
      </c>
      <c r="D27" s="214"/>
      <c r="E27" s="213" t="s">
        <v>299</v>
      </c>
      <c r="F27" s="214" t="str">
        <f>_xlfn.XLOOKUP(B27,Terméklista!$B$2:$B$103,Terméklista!$G$2:$G$103," ")</f>
        <v xml:space="preserve"> Z410</v>
      </c>
      <c r="G27" s="215">
        <v>4500100427</v>
      </c>
      <c r="H27" s="216">
        <v>50000</v>
      </c>
      <c r="I27" s="217" t="d">
        <v>2025-02-25</v>
      </c>
      <c r="J27" s="217" t="d">
        <v>2025-04-17</v>
      </c>
      <c r="K27" s="217" t="d">
        <v>2025-04-10</v>
      </c>
      <c r="L27" s="213" t="s">
        <v>53</v>
      </c>
      <c r="M27" s="213"/>
      <c r="N27" s="214">
        <f>IFERROR(_xlfn.XLOOKUP(B27,Terméklista!B25:B126,Terméklista!H25:H126)," ")</f>
        <v>0</v>
      </c>
      <c r="O27" s="218">
        <f>IFERROR(ROUNDUP(Rendelés[[#This Row],[Amount/pc]]/_xlfn.XLOOKUP(B27,Terméklista!$B$2:$B$103,Terméklista!$M$2:$M$103,),0)," ")</f>
        <v>143</v>
      </c>
      <c r="P27" s="212">
        <f>IFERROR(ROUNDUP(Rendelés[[#This Row],[Dobozok száma]]/_xlfn.XLOOKUP(B27,Terméklista!$B$2:$B$103,Terméklista!$N$2:$N$103,),0)," ")</f>
        <v>5</v>
      </c>
      <c r="Q27" s="219">
        <f>IFERROR(Rendelés[[#This Row],[Szükséges anyagmennyiség]]+(Rendelés[[#This Row],[Össz raklapok száma]]*25),"")</f>
        <v>1551</v>
      </c>
      <c r="R27" s="219" cm="1">
        <f t="array" ref="R27">(H27*_xlfn.XLOOKUP(B27,Terméklista!$B$2:$B$103,Terméklista!F$2:$F$103,))/1000</f>
        <v>1426</v>
      </c>
      <c r="S27" s="220">
        <f>IFERROR(((H27/_xlfn.XLOOKUP(B27,Terméklista!$B$2:$B$103,Terméklista!$E$2:$E$103)*_xlfn.XLOOKUP(B27,Terméklista!$B$2:$B$103,Terméklista!$I$2:$I$103)))/3600," ")</f>
        <v>69.444444444444443</v>
      </c>
      <c r="T27" s="212" t="s">
        <v>473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</row>
    <row r="28" spans="1:1189" s="212" customFormat="1" hidden="1">
      <c r="A28" s="212" t="s">
        <v>182</v>
      </c>
      <c r="B28" s="213" t="s">
        <v>460</v>
      </c>
      <c r="C28" s="214" t="str">
        <f>IFERROR(_xlfn.XLOOKUP(B28,Terméklista!$B$2:$B$103,Terméklista!$C$2:$C$103,)," ")</f>
        <v xml:space="preserve">Smartstop-2 </v>
      </c>
      <c r="D28" s="214"/>
      <c r="E28" s="213" t="s">
        <v>301</v>
      </c>
      <c r="F28" s="214" t="str">
        <f>_xlfn.XLOOKUP(B28,Terméklista!$B$2:$B$103,Terméklista!$G$2:$G$103," ")</f>
        <v xml:space="preserve"> Z410</v>
      </c>
      <c r="G28" s="215">
        <v>26594</v>
      </c>
      <c r="H28" s="216">
        <v>10000</v>
      </c>
      <c r="I28" s="217" t="d">
        <v>2025-03-03</v>
      </c>
      <c r="J28" s="217" t="d">
        <v>2025-04-02</v>
      </c>
      <c r="K28" s="217" t="d">
        <v>2025-04-15</v>
      </c>
      <c r="L28" s="213" t="s">
        <v>53</v>
      </c>
      <c r="M28" s="213" t="s">
        <v>472</v>
      </c>
      <c r="N28" s="214">
        <f>IFERROR(_xlfn.XLOOKUP(B28,Terméklista!B27:B128,Terméklista!H27:H128)," ")</f>
        <v>0</v>
      </c>
      <c r="O28" s="218">
        <f>IFERROR(ROUNDUP(Rendelés[[#This Row],[Amount/pc]]/_xlfn.XLOOKUP(B28,Terméklista!$B$2:$B$103,Terméklista!$M$2:$M$103,),0)," ")</f>
        <v>16</v>
      </c>
      <c r="P28" s="212">
        <f>IFERROR(ROUNDUP(Rendelés[[#This Row],[Dobozok száma]]/_xlfn.XLOOKUP(B28,Terméklista!$B$2:$B$103,Terméklista!$N$2:$N$103,),0)," ")</f>
        <v>1</v>
      </c>
      <c r="Q28" s="219">
        <f>IFERROR(Rendelés[[#This Row],[Szükséges anyagmennyiség]]+(Rendelés[[#This Row],[Össz raklapok száma]]*25),"")</f>
        <v>175.3</v>
      </c>
      <c r="R28" s="219" cm="1">
        <f t="array" ref="R28">(H28*_xlfn.XLOOKUP(B28,Terméklista!$B$2:$B$103,Terméklista!F$2:$F$103,))/1000</f>
        <v>150.30000000000001</v>
      </c>
      <c r="S28" s="220">
        <f>IFERROR(((H28/_xlfn.XLOOKUP(B28,Terméklista!$B$2:$B$103,Terméklista!$E$2:$E$103)*_xlfn.XLOOKUP(B28,Terméklista!$B$2:$B$103,Terméklista!$I$2:$I$103)))/3600," ")</f>
        <v>6.9444444444444446</v>
      </c>
      <c r="T28" s="212" t="s">
        <v>493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</row>
    <row r="29" spans="1:1189" hidden="1">
      <c r="A29" s="212" t="s">
        <v>180</v>
      </c>
      <c r="B29" s="213" t="s">
        <v>17</v>
      </c>
      <c r="C29" s="214" t="str">
        <f>IFERROR(_xlfn.XLOOKUP(B29,Terméklista!$B$2:$B$103,Terméklista!$C$2:$C$103,)," ")</f>
        <v>Zamak Gewicht</v>
      </c>
      <c r="D29" s="214"/>
      <c r="E29" s="213" t="s">
        <v>300</v>
      </c>
      <c r="F29" s="214" t="str">
        <f>_xlfn.XLOOKUP(B29,Terméklista!$B$2:$B$103,Terméklista!$G$2:$G$103," ")</f>
        <v xml:space="preserve"> Z410</v>
      </c>
      <c r="G29" s="215">
        <v>4500100560</v>
      </c>
      <c r="H29" s="216">
        <v>50000</v>
      </c>
      <c r="I29" s="217" t="d">
        <v>2025-03-04</v>
      </c>
      <c r="J29" s="217" t="d">
        <v>2025-06-02</v>
      </c>
      <c r="K29" s="217" t="d">
        <v>2025-06-05</v>
      </c>
      <c r="L29" s="213" t="s">
        <v>53</v>
      </c>
      <c r="M29" s="213"/>
      <c r="N29" s="214" t="str">
        <f>_xlfn.XLOOKUP(J29,Terméklista!$B$2:$B$103,Terméklista!$H$2:$H$103," ")</f>
        <v xml:space="preserve"> </v>
      </c>
      <c r="O29" s="218">
        <f>IFERROR(ROUNDUP(Rendelés[[#This Row],[Amount/pc]]/_xlfn.XLOOKUP(B29,Terméklista!$B$2:$B$103,Terméklista!$M$2:$M$103,),0)," ")</f>
        <v>143</v>
      </c>
      <c r="P29" s="212">
        <f>IFERROR(ROUNDUP(Rendelés[[#This Row],[Dobozok száma]]/_xlfn.XLOOKUP(B29,Terméklista!$B$2:$B$103,Terméklista!$N$2:$N$103,),0)," ")</f>
        <v>2</v>
      </c>
      <c r="Q29" s="219">
        <f>IFERROR(Rendelés[[#This Row],[Szükséges anyagmennyiség]]+(Rendelés[[#This Row],[Össz raklapok száma]]*25),"")</f>
        <v>900</v>
      </c>
      <c r="R29" s="219" cm="1">
        <f t="array" ref="R29">(H29*_xlfn.XLOOKUP(B29,Terméklista!$B$2:$B$103,Terméklista!F$2:$F$103,))/1000</f>
        <v>850</v>
      </c>
      <c r="S29" s="220">
        <f>IFERROR(((H29/_xlfn.XLOOKUP(B29,Terméklista!$B$2:$B$103,Terméklista!$E$2:$E$103)*_xlfn.XLOOKUP(B29,Terméklista!$B$2:$B$103,Terméklista!$I$2:$I$103)))/3600," ")</f>
        <v>34.722222222222221</v>
      </c>
      <c r="T29" s="212"/>
    </row>
    <row r="30" spans="1:1189" s="212" customFormat="1" hidden="1">
      <c r="A30" s="212" t="s">
        <v>182</v>
      </c>
      <c r="B30" s="213" t="s">
        <v>467</v>
      </c>
      <c r="C30" s="214" t="str">
        <f>IFERROR(_xlfn.XLOOKUP(B30,Terméklista!$B$2:$B$103,Terméklista!$C$2:$C$103,)," ")</f>
        <v>Verdrehsicherung</v>
      </c>
      <c r="D30" s="214"/>
      <c r="E30" s="213" t="s">
        <v>305</v>
      </c>
      <c r="F30" s="214" t="str">
        <f>_xlfn.XLOOKUP(B30,Terméklista!$B$2:$B$103,Terméklista!$G$2:$G$103," ")</f>
        <v xml:space="preserve"> Z410</v>
      </c>
      <c r="G30" s="215">
        <v>26607</v>
      </c>
      <c r="H30" s="216">
        <v>5000</v>
      </c>
      <c r="I30" s="217" t="d">
        <v>2025-03-06</v>
      </c>
      <c r="J30" s="217" t="d">
        <v>2025-04-18</v>
      </c>
      <c r="K30" s="217" t="d">
        <v>2025-04-08</v>
      </c>
      <c r="L30" s="213" t="s">
        <v>53</v>
      </c>
      <c r="M30" s="213" t="s">
        <v>472</v>
      </c>
      <c r="N30" s="214">
        <f>IFERROR(_xlfn.XLOOKUP(B30,Terméklista!B29:B130,Terméklista!H29:H130)," ")</f>
        <v>0</v>
      </c>
      <c r="O30" s="218">
        <f>IFERROR(ROUNDUP(Rendelés[[#This Row],[Amount/pc]]/_xlfn.XLOOKUP(B30,Terméklista!$B$2:$B$103,Terméklista!$M$2:$M$103,),0)," ")</f>
        <v>25</v>
      </c>
      <c r="P30" s="212">
        <f>IFERROR(ROUNDUP(Rendelés[[#This Row],[Dobozok száma]]/_xlfn.XLOOKUP(B30,Terméklista!$B$2:$B$103,Terméklista!$N$2:$N$103,),0)," ")</f>
        <v>1</v>
      </c>
      <c r="Q30" s="219">
        <f>IFERROR(Rendelés[[#This Row],[Szükséges anyagmennyiség]]+(Rendelés[[#This Row],[Össz raklapok száma]]*25),"")</f>
        <v>298.5</v>
      </c>
      <c r="R30" s="305" cm="1">
        <f t="array" ref="R30">(H30*_xlfn.XLOOKUP(B30,Terméklista!$B$2:$B$103,Terméklista!F$2:$F$103,))/1000</f>
        <v>273.5</v>
      </c>
      <c r="S30" s="220">
        <f>IFERROR(((H30/_xlfn.XLOOKUP(B30,Terméklista!$B$2:$B$103,Terméklista!$E$2:$E$103)*_xlfn.XLOOKUP(B30,Terméklista!$B$2:$B$103,Terméklista!$I$2:$I$103)))/3600," ")</f>
        <v>10.416666666666666</v>
      </c>
      <c r="T30" s="212" t="s">
        <v>493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</row>
    <row r="31" spans="1:1189" s="212" customFormat="1" hidden="1">
      <c r="A31" t="s">
        <v>156</v>
      </c>
      <c r="B31" s="34" t="s">
        <v>41</v>
      </c>
      <c r="C31" s="203">
        <f>IFERROR(_xlfn.XLOOKUP(B31,Terméklista!$B$2:$B$103,Terméklista!$C$2:$C$103,)," ")</f>
        <v>0</v>
      </c>
      <c r="D31" s="7"/>
      <c r="E31" s="34" t="s">
        <v>302</v>
      </c>
      <c r="F31" s="203" t="str">
        <f>_xlfn.XLOOKUP(B31,Terméklista!$B$2:$B$103,Terméklista!$G$2:$G$103," ")</f>
        <v xml:space="preserve"> Z410</v>
      </c>
      <c r="G31" s="205">
        <v>5611</v>
      </c>
      <c r="H31" s="150">
        <v>2000</v>
      </c>
      <c r="I31" s="8" t="d">
        <v>2025-03-06</v>
      </c>
      <c r="J31" s="8" t="d">
        <v>2025-03-10</v>
      </c>
      <c r="K31" s="8" t="d">
        <v>2025-03-10</v>
      </c>
      <c r="L31" s="34" t="s">
        <v>53</v>
      </c>
      <c r="M31" s="34"/>
      <c r="N31" s="7" t="str">
        <f>IFERROR(_xlfn.XLOOKUP(B31,Terméklista!B28:B129,Terméklista!H28:H129)," ")</f>
        <v xml:space="preserve"> </v>
      </c>
      <c r="O31" s="147" t="str">
        <f>IFERROR(ROUNDUP(Rendelés[[#This Row],[Amount/pc]]/_xlfn.XLOOKUP(B31,Terméklista!$B$2:$B$103,Terméklista!$M$2:$M$103,),0)," ")</f>
        <v xml:space="preserve"> </v>
      </c>
      <c r="P31" t="str">
        <f>IFERROR(ROUNDUP(Rendelés[[#This Row],[Dobozok száma]]/_xlfn.XLOOKUP(B31,Terméklista!$B$2:$B$103,Terméklista!$N$2:$N$103,),0)," ")</f>
        <v xml:space="preserve"> </v>
      </c>
      <c r="Q31" s="145" t="str">
        <f>IFERROR(Rendelés[[#This Row],[Szükséges anyagmennyiség]]+(Rendelés[[#This Row],[Össz raklapok száma]]*25),"")</f>
        <v/>
      </c>
      <c r="R31" s="145" cm="1">
        <f t="array" ref="R31">(H31*_xlfn.XLOOKUP(B31,Terméklista!$B$2:$B$103,Terméklista!F$2:$F$103,))/1000</f>
        <v>44.68</v>
      </c>
      <c r="S31" s="153">
        <f>IFERROR(((H31/_xlfn.XLOOKUP(B31,Terméklista!$B$2:$B$103,Terméklista!$E$2:$E$103)*_xlfn.XLOOKUP(B31,Terméklista!$B$2:$B$103,Terméklista!$I$2:$I$103)))/3600," ")</f>
        <v>4.166666666666667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</row>
    <row r="32" spans="1:1189" hidden="1">
      <c r="A32" t="s">
        <v>180</v>
      </c>
      <c r="B32" s="34" t="s">
        <v>16</v>
      </c>
      <c r="C32" s="203" t="str">
        <f>IFERROR(_xlfn.XLOOKUP(B32,Terméklista!$B$2:$B$103,Terméklista!$C$2:$C$103,)," ")</f>
        <v>Zamak Gewicht</v>
      </c>
      <c r="E32" s="34" t="s">
        <v>360</v>
      </c>
      <c r="F32" s="203" t="str">
        <f>_xlfn.XLOOKUP(B32,Terméklista!$B$2:$B$103,Terméklista!$G$2:$G$103," ")</f>
        <v xml:space="preserve"> Z410</v>
      </c>
      <c r="G32" s="205">
        <v>4500100603</v>
      </c>
      <c r="H32" s="150">
        <v>300000</v>
      </c>
      <c r="I32" s="8" t="d">
        <v>2025-03-06</v>
      </c>
      <c r="J32" s="8" t="d">
        <v>2025-05-15</v>
      </c>
      <c r="K32" s="8" t="d">
        <v>2025-05-14</v>
      </c>
      <c r="L32" s="34" t="s">
        <v>53</v>
      </c>
      <c r="N32" s="7">
        <f>IFERROR(_xlfn.XLOOKUP(B32,Terméklista!B30:B131,Terméklista!H30:H131)," ")</f>
        <v>0</v>
      </c>
      <c r="O32" s="147">
        <f>IFERROR(ROUNDUP(Rendelés[[#This Row],[Amount/pc]]/_xlfn.XLOOKUP(B32,Terméklista!$B$2:$B$103,Terméklista!$M$2:$M$103,),0)," ")</f>
        <v>600</v>
      </c>
      <c r="P32">
        <f>IFERROR(ROUNDUP(Rendelés[[#This Row],[Dobozok száma]]/_xlfn.XLOOKUP(B32,Terméklista!$B$2:$B$103,Terméklista!$N$2:$N$103,),0)," ")</f>
        <v>7</v>
      </c>
      <c r="Q32" s="145">
        <f>IFERROR(Rendelés[[#This Row],[Szükséges anyagmennyiség]]+(Rendelés[[#This Row],[Össz raklapok száma]]*25),"")</f>
        <v>3325</v>
      </c>
      <c r="R32" s="144" cm="1">
        <f t="array" ref="R32">(H32*_xlfn.XLOOKUP(B32,Terméklista!$B$2:$B$103,Terméklista!F$2:$F$103,))/1000</f>
        <v>3150</v>
      </c>
      <c r="S32" s="153">
        <f>IFERROR(((H32/_xlfn.XLOOKUP(B32,Terméklista!$B$2:$B$103,Terméklista!$E$2:$E$103)*_xlfn.XLOOKUP(B32,Terméklista!$B$2:$B$103,Terméklista!$I$2:$I$103)))/3600," ")</f>
        <v>208.33333333333334</v>
      </c>
      <c r="T32" t="s">
        <v>406</v>
      </c>
    </row>
    <row r="33" spans="1:1189" hidden="1">
      <c r="A33" t="s">
        <v>180</v>
      </c>
      <c r="B33" s="34" t="s">
        <v>16</v>
      </c>
      <c r="C33" s="203" t="str">
        <f>IFERROR(_xlfn.XLOOKUP(B33,Terméklista!$B$2:$B$103,Terméklista!$C$2:$C$103,)," ")</f>
        <v>Zamak Gewicht</v>
      </c>
      <c r="E33" s="34" t="s">
        <v>361</v>
      </c>
      <c r="F33" s="203" t="str">
        <f>_xlfn.XLOOKUP(B33,Terméklista!$B$2:$B$103,Terméklista!$G$2:$G$103," ")</f>
        <v xml:space="preserve"> Z410</v>
      </c>
      <c r="G33" s="205">
        <v>4500100603</v>
      </c>
      <c r="H33" s="150">
        <v>200000</v>
      </c>
      <c r="I33" s="8" t="d">
        <v>2025-03-06</v>
      </c>
      <c r="J33" s="8" t="d">
        <v>2025-06-25</v>
      </c>
      <c r="K33" s="8" t="d">
        <v>2025-06-19</v>
      </c>
      <c r="L33" s="34" t="s">
        <v>53</v>
      </c>
      <c r="N33" s="203" t="str">
        <f>_xlfn.XLOOKUP(J33,Terméklista!$B$2:$B$103,Terméklista!$H$2:$H$103," ")</f>
        <v xml:space="preserve"> </v>
      </c>
      <c r="O33" s="147">
        <f>IFERROR(ROUNDUP(Rendelés[[#This Row],[Amount/pc]]/_xlfn.XLOOKUP(B33,Terméklista!$B$2:$B$103,Terméklista!$M$2:$M$103,),0)," ")</f>
        <v>400</v>
      </c>
      <c r="P33">
        <f>IFERROR(ROUNDUP(Rendelés[[#This Row],[Dobozok száma]]/_xlfn.XLOOKUP(B33,Terméklista!$B$2:$B$103,Terméklista!$N$2:$N$103,),0)," ")</f>
        <v>5</v>
      </c>
      <c r="Q33" s="145">
        <f>IFERROR(Rendelés[[#This Row],[Szükséges anyagmennyiség]]+(Rendelés[[#This Row],[Össz raklapok száma]]*25),"")</f>
        <v>2225</v>
      </c>
      <c r="R33" s="144" cm="1">
        <f t="array" ref="R33">(H33*_xlfn.XLOOKUP(B33,Terméklista!$B$2:$B$103,Terméklista!F$2:$F$103,))/1000</f>
        <v>2100</v>
      </c>
      <c r="S33" s="153">
        <f>IFERROR(((H33/_xlfn.XLOOKUP(B33,Terméklista!$B$2:$B$103,Terméklista!$E$2:$E$103)*_xlfn.XLOOKUP(B33,Terméklista!$B$2:$B$103,Terméklista!$I$2:$I$103)))/3600," ")</f>
        <v>138.88888888888889</v>
      </c>
    </row>
    <row r="34" spans="1:1189" hidden="1">
      <c r="A34" t="s">
        <v>180</v>
      </c>
      <c r="B34" s="369" t="s">
        <v>43</v>
      </c>
      <c r="C34" s="203"/>
      <c r="E34" s="34" t="s">
        <v>521</v>
      </c>
      <c r="F34" s="203" t="str">
        <f>_xlfn.XLOOKUP(B34,Terméklista!$B$2:$B$103,Terméklista!$G$2:$G$103," ")</f>
        <v xml:space="preserve"> Z410</v>
      </c>
      <c r="G34" s="205">
        <v>4500100868</v>
      </c>
      <c r="H34" s="150">
        <v>92000</v>
      </c>
      <c r="I34" s="8" t="d">
        <v>2025-03-06</v>
      </c>
      <c r="J34" s="8" t="d">
        <v>2025-06-18</v>
      </c>
      <c r="K34" s="8" t="d">
        <v>2025-06-13</v>
      </c>
      <c r="L34" s="34" t="s">
        <v>53</v>
      </c>
      <c r="M34" s="34" t="s">
        <v>472</v>
      </c>
      <c r="N34" s="203" t="str">
        <f>_xlfn.XLOOKUP(J34,Terméklista!$B$2:$B$103,Terméklista!$H$2:$H$103," ")</f>
        <v xml:space="preserve"> </v>
      </c>
      <c r="O34" s="147">
        <f>IFERROR(ROUNDUP(Rendelés[[#This Row],[Amount/pc]]/_xlfn.XLOOKUP(B34,Terméklista!$B$2:$B$103,Terméklista!$M$2:$M$103,),0)," ")</f>
        <v>92</v>
      </c>
      <c r="P34">
        <f>IFERROR(ROUNDUP(Rendelés[[#This Row],[Dobozok száma]]/_xlfn.XLOOKUP(B34,Terméklista!$B$2:$B$103,Terméklista!$N$2:$N$103,),0)," ")</f>
        <v>1</v>
      </c>
      <c r="Q34" s="142">
        <f>IFERROR(Rendelés[[#This Row],[Szükséges anyagmennyiség]]+(Rendelés[[#This Row],[Össz raklapok száma]]*25),"")</f>
        <v>761</v>
      </c>
      <c r="R34" s="144" cm="1">
        <f t="array" ref="R34">(H34*_xlfn.XLOOKUP(B34,Terméklista!$B$2:$B$103,Terméklista!F$2:$F$103,))/1000</f>
        <v>736</v>
      </c>
      <c r="S34" s="153">
        <f>IFERROR(((H34/_xlfn.XLOOKUP(B34,Terméklista!$B$2:$B$103,Terméklista!$E$2:$E$103)*_xlfn.XLOOKUP(B34,Terméklista!$B$2:$B$103,Terméklista!$I$2:$I$103)))/3600," ")</f>
        <v>31.944444444444443</v>
      </c>
      <c r="T34" t="s">
        <v>546</v>
      </c>
    </row>
    <row r="35" spans="1:1189" hidden="1">
      <c r="A35" t="s">
        <v>159</v>
      </c>
      <c r="B35" s="34" t="s">
        <v>149</v>
      </c>
      <c r="C35" s="203">
        <v>0</v>
      </c>
      <c r="E35" s="34" t="s">
        <v>363</v>
      </c>
      <c r="F35" s="203" t="str">
        <f>_xlfn.XLOOKUP(B35,Terméklista!$B$2:$B$103,Terméklista!$G$2:$G$103," ")</f>
        <v xml:space="preserve"> Z414</v>
      </c>
      <c r="H35" s="150">
        <v>1000</v>
      </c>
      <c r="I35" s="8" t="d">
        <v>2025-03-14</v>
      </c>
      <c r="J35" s="8" t="d">
        <v>2025-03-31</v>
      </c>
      <c r="K35" s="8" t="d">
        <v>2025-04-03</v>
      </c>
      <c r="L35" s="34" t="s">
        <v>53</v>
      </c>
      <c r="N35" s="7" t="str">
        <f>IFERROR(_xlfn.XLOOKUP(B35,Terméklista!B33:B134,Terméklista!H33:H134)," ")</f>
        <v xml:space="preserve"> </v>
      </c>
      <c r="O35" s="147" t="str">
        <f>IFERROR(ROUNDUP(Rendelés[[#This Row],[Amount/pc]]/_xlfn.XLOOKUP(B35,Terméklista!$B$2:$B$103,Terméklista!$M$2:$M$103,),0)," ")</f>
        <v xml:space="preserve"> </v>
      </c>
      <c r="P35" t="str">
        <f>IFERROR(ROUNDUP(Rendelés[[#This Row],[Dobozok száma]]/_xlfn.XLOOKUP(B35,Terméklista!$B$2:$B$103,Terméklista!$N$2:$N$103,),0)," ")</f>
        <v xml:space="preserve"> </v>
      </c>
      <c r="Q35" s="142" t="str">
        <f>IFERROR(Rendelés[[#This Row],[Szükséges anyagmennyiség]]+(Rendelés[[#This Row],[Össz raklapok száma]]*25),"")</f>
        <v/>
      </c>
      <c r="R35" s="144" cm="1">
        <f t="array" ref="R35">(H35*_xlfn.XLOOKUP(B35,Terméklista!$B$2:$B$103,Terméklista!F$2:$F$103,))/1000</f>
        <v>0</v>
      </c>
      <c r="S35" s="153" t="str">
        <f>IFERROR(((H35/_xlfn.XLOOKUP(B35,Terméklista!$B$2:$B$103,Terméklista!$E$2:$E$103)*_xlfn.XLOOKUP(B35,Terméklista!$B$2:$B$103,Terméklista!$I$2:$I$103)))/3600," ")</f>
        <v xml:space="preserve"> </v>
      </c>
    </row>
    <row r="36" spans="1:1189" s="212" customFormat="1" hidden="1">
      <c r="A36" s="212" t="s">
        <v>180</v>
      </c>
      <c r="B36" s="213" t="s">
        <v>50</v>
      </c>
      <c r="C36" s="214" t="str">
        <f>IFERROR(_xlfn.XLOOKUP(B36,Terméklista!$B$2:$B$103,Terméklista!$C$2:$C$103,)," ")</f>
        <v>Zamak Gewicht</v>
      </c>
      <c r="D36" s="214"/>
      <c r="E36" s="213" t="s">
        <v>492</v>
      </c>
      <c r="F36" s="214" t="str">
        <f>_xlfn.XLOOKUP(B36,Terméklista!$B$2:$B$103,Terméklista!$G$2:$G$103," ")</f>
        <v xml:space="preserve"> Z410</v>
      </c>
      <c r="G36" s="215">
        <v>4500100908</v>
      </c>
      <c r="H36" s="216">
        <v>90000</v>
      </c>
      <c r="I36" s="217" t="d">
        <v>2025-03-25</v>
      </c>
      <c r="J36" s="217" t="d">
        <v>2025-06-02</v>
      </c>
      <c r="K36" s="217" t="d">
        <v>2025-06-05</v>
      </c>
      <c r="L36" s="213" t="s">
        <v>53</v>
      </c>
      <c r="M36" s="213"/>
      <c r="N36" s="214" t="str">
        <f>_xlfn.XLOOKUP(J36,Terméklista!$B$2:$B$103,Terméklista!$H$2:$H$103," ")</f>
        <v xml:space="preserve"> </v>
      </c>
      <c r="O36" s="218">
        <f>IFERROR(ROUNDUP(Rendelés[[#This Row],[Amount/pc]]/_xlfn.XLOOKUP(B36,Terméklista!$B$2:$B$103,Terméklista!$M$2:$M$103,),0)," ")</f>
        <v>600</v>
      </c>
      <c r="P36" s="212">
        <f>IFERROR(ROUNDUP(Rendelés[[#This Row],[Dobozok száma]]/_xlfn.XLOOKUP(B36,Terméklista!$B$2:$B$103,Terméklista!$N$2:$N$103,),0)," ")</f>
        <v>20</v>
      </c>
      <c r="Q36" s="219">
        <f>IFERROR(Rendelés[[#This Row],[Szükséges anyagmennyiség]]+(Rendelés[[#This Row],[Össz raklapok száma]]*25),"")</f>
        <v>6377</v>
      </c>
      <c r="R36" s="305" cm="1">
        <f t="array" ref="R36">(H36*_xlfn.XLOOKUP(B36,Terméklista!$B$2:$B$103,Terméklista!F$2:$F$103,))/1000</f>
        <v>5877</v>
      </c>
      <c r="S36" s="220">
        <f>IFERROR(((H36/_xlfn.XLOOKUP(B36,Terméklista!$B$2:$B$103,Terméklista!$E$2:$E$103)*_xlfn.XLOOKUP(B36,Terméklista!$B$2:$B$103,Terméklista!$I$2:$I$103)))/3600," ")</f>
        <v>125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</row>
    <row r="37" spans="1:1189" s="212" customFormat="1" hidden="1">
      <c r="A37" t="s">
        <v>156</v>
      </c>
      <c r="B37" s="34" t="s">
        <v>146</v>
      </c>
      <c r="C37" s="203" t="str">
        <f>IFERROR(_xlfn.XLOOKUP(B37,Terméklista!$B$2:$B$103,Terméklista!$C$2:$C$103,)," ")</f>
        <v>zsanértest</v>
      </c>
      <c r="D37" s="7"/>
      <c r="E37" s="34" t="s">
        <v>364</v>
      </c>
      <c r="F37" s="203" t="str">
        <f>_xlfn.XLOOKUP(B37,Terméklista!$B$2:$B$103,Terméklista!$G$2:$G$103," ")</f>
        <v xml:space="preserve"> Z410</v>
      </c>
      <c r="G37" s="205">
        <v>5664</v>
      </c>
      <c r="H37" s="150">
        <v>550</v>
      </c>
      <c r="I37" s="8" t="d">
        <v>2025-04-02</v>
      </c>
      <c r="J37" s="8" t="d">
        <v>2025-04-04</v>
      </c>
      <c r="K37" s="8" t="d">
        <v>2025-04-07</v>
      </c>
      <c r="L37" s="34" t="s">
        <v>53</v>
      </c>
      <c r="M37" s="34"/>
      <c r="N37" s="7">
        <f>IFERROR(_xlfn.XLOOKUP(B37,Terméklista!B34:B135,Terméklista!H34:H135)," ")</f>
        <v>0</v>
      </c>
      <c r="O37" s="147" t="str">
        <f>IFERROR(ROUNDUP(Rendelés[[#This Row],[Amount/pc]]/_xlfn.XLOOKUP(B37,Terméklista!$B$2:$B$103,Terméklista!$M$2:$M$103,),0)," ")</f>
        <v xml:space="preserve"> </v>
      </c>
      <c r="P37" t="str">
        <f>IFERROR(ROUNDUP(Rendelés[[#This Row],[Dobozok száma]]/_xlfn.XLOOKUP(B37,Terméklista!$B$2:$B$103,Terméklista!$N$2:$N$103,),0)," ")</f>
        <v xml:space="preserve"> </v>
      </c>
      <c r="Q37" s="142" t="str">
        <f>IFERROR(Rendelés[[#This Row],[Szükséges anyagmennyiség]]+(Rendelés[[#This Row],[Össz raklapok száma]]*25),"")</f>
        <v/>
      </c>
      <c r="R37" s="144" cm="1">
        <f t="array" ref="R37">(H37*_xlfn.XLOOKUP(B37,Terméklista!$B$2:$B$103,Terméklista!F$2:$F$103,))/1000</f>
        <v>38.5</v>
      </c>
      <c r="S37" s="153">
        <f>IFERROR(((H37/_xlfn.XLOOKUP(B37,Terméklista!$B$2:$B$103,Terméklista!$E$2:$E$103)*_xlfn.XLOOKUP(B37,Terméklista!$B$2:$B$103,Terméklista!$I$2:$I$103)))/3600," ")</f>
        <v>1.1458333333333333</v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/>
      <c r="ARL37"/>
      <c r="ARM37"/>
      <c r="ARN37"/>
      <c r="ARO37"/>
      <c r="ARP37"/>
      <c r="ARQ37"/>
      <c r="ARR37"/>
      <c r="ARS37"/>
      <c r="ART37"/>
      <c r="ARU37"/>
      <c r="ARV37"/>
      <c r="ARW37"/>
      <c r="ARX37"/>
      <c r="ARY37"/>
      <c r="ARZ37"/>
      <c r="ASA37"/>
      <c r="ASB37"/>
      <c r="ASC37"/>
      <c r="ASD37"/>
      <c r="ASE37"/>
      <c r="ASF37"/>
      <c r="ASG37"/>
      <c r="ASH37"/>
      <c r="ASI37"/>
      <c r="ASJ37"/>
      <c r="ASK37"/>
      <c r="ASL37"/>
      <c r="ASM37"/>
      <c r="ASN37"/>
      <c r="ASO37"/>
      <c r="ASP37"/>
      <c r="ASQ37"/>
      <c r="ASR37"/>
      <c r="ASS37"/>
    </row>
    <row r="38" spans="1:1189" hidden="1">
      <c r="A38" s="212" t="s">
        <v>156</v>
      </c>
      <c r="B38" s="213" t="s">
        <v>116</v>
      </c>
      <c r="C38" s="214" t="str">
        <f>IFERROR(_xlfn.XLOOKUP(B38,Terméklista!$B$2:$B$103,Terméklista!$C$2:$C$103,)," ")</f>
        <v>nagykulcs - 3mm</v>
      </c>
      <c r="D38" s="214"/>
      <c r="E38" s="213" t="s">
        <v>489</v>
      </c>
      <c r="F38" s="214" t="str">
        <f>_xlfn.XLOOKUP(B38,Terméklista!$B$2:$B$103,Terméklista!$G$2:$G$103," ")</f>
        <v xml:space="preserve"> Z410</v>
      </c>
      <c r="G38" s="215">
        <v>5681</v>
      </c>
      <c r="H38" s="216">
        <v>1000</v>
      </c>
      <c r="I38" s="217" t="d">
        <v>2025-04-14</v>
      </c>
      <c r="J38" s="217" t="d">
        <v>2025-05-05</v>
      </c>
      <c r="K38" s="217"/>
      <c r="L38" s="213" t="s">
        <v>53</v>
      </c>
      <c r="M38" s="213"/>
      <c r="N38" s="214" t="str">
        <f>IFERROR(_xlfn.XLOOKUP(B38,Terméklista!B36:B137,Terméklista!H36:H137)," ")</f>
        <v xml:space="preserve"> </v>
      </c>
      <c r="O38" s="218" t="str">
        <f>IFERROR(ROUNDUP(Rendelés[[#This Row],[Amount/pc]]/_xlfn.XLOOKUP(B38,Terméklista!$B$2:$B$103,Terméklista!$M$2:$M$103,),0)," ")</f>
        <v xml:space="preserve"> </v>
      </c>
      <c r="P38" s="212" t="str">
        <f>IFERROR(ROUNDUP(Rendelés[[#This Row],[Dobozok száma]]/_xlfn.XLOOKUP(B38,Terméklista!$B$2:$B$103,Terméklista!$N$2:$N$103,),0)," ")</f>
        <v xml:space="preserve"> </v>
      </c>
      <c r="Q38" s="219" t="str">
        <f>IFERROR(Rendelés[[#This Row],[Szükséges anyagmennyiség]]+(Rendelés[[#This Row],[Össz raklapok száma]]*25),"")</f>
        <v/>
      </c>
      <c r="R38" s="305" cm="1">
        <f t="array" ref="R38">(H38*_xlfn.XLOOKUP(B38,Terméklista!$B$2:$B$103,Terméklista!F$2:$F$103,))/1000</f>
        <v>47.550000000000004</v>
      </c>
      <c r="S38" s="220">
        <f>IFERROR(((H38/_xlfn.XLOOKUP(B38,Terméklista!$B$2:$B$103,Terméklista!$E$2:$E$103)*_xlfn.XLOOKUP(B38,Terméklista!$B$2:$B$103,Terméklista!$I$2:$I$103)))/3600," ")</f>
        <v>2.0833333333333335</v>
      </c>
      <c r="T38" s="212" t="s">
        <v>506</v>
      </c>
    </row>
    <row r="39" spans="1:1189" hidden="1">
      <c r="A39" s="212" t="s">
        <v>180</v>
      </c>
      <c r="B39" s="368" t="s">
        <v>17</v>
      </c>
      <c r="C39" s="214" t="str">
        <f>IFERROR(_xlfn.XLOOKUP(B39,Terméklista!$B$2:$B$103,Terméklista!$C$2:$C$103,)," ")</f>
        <v>Zamak Gewicht</v>
      </c>
      <c r="D39" s="214"/>
      <c r="E39" s="213" t="s">
        <v>494</v>
      </c>
      <c r="F39" s="214" t="str">
        <f>_xlfn.XLOOKUP(B39,Terméklista!$B$2:$B$103,Terméklista!$G$2:$G$103," ")</f>
        <v xml:space="preserve"> Z410</v>
      </c>
      <c r="G39" s="215">
        <v>4500101272</v>
      </c>
      <c r="H39" s="216">
        <v>50000</v>
      </c>
      <c r="I39" s="217" t="d">
        <v>2025-04-23</v>
      </c>
      <c r="J39" s="217" t="d">
        <v>2025-08-04</v>
      </c>
      <c r="K39" s="217" t="d">
        <v>2025-08-05</v>
      </c>
      <c r="L39" s="213" t="s">
        <v>53</v>
      </c>
      <c r="M39" s="213" t="s">
        <v>472</v>
      </c>
      <c r="N39" s="214" t="str">
        <f>_xlfn.XLOOKUP(J39,Terméklista!$B$2:$B$103,Terméklista!$H$2:$H$103," ")</f>
        <v xml:space="preserve"> </v>
      </c>
      <c r="O39" s="218">
        <f>IFERROR(ROUNDUP(Rendelés[[#This Row],[Amount/pc]]/_xlfn.XLOOKUP(B39,Terméklista!$B$2:$B$103,Terméklista!$M$2:$M$103,),0)," ")</f>
        <v>143</v>
      </c>
      <c r="P39" s="212">
        <f>IFERROR(ROUNDUP(Rendelés[[#This Row],[Dobozok száma]]/_xlfn.XLOOKUP(B39,Terméklista!$B$2:$B$103,Terméklista!$N$2:$N$103,),0)," ")</f>
        <v>2</v>
      </c>
      <c r="Q39" s="219">
        <f>IFERROR(Rendelés[[#This Row],[Szükséges anyagmennyiség]]+(Rendelés[[#This Row],[Össz raklapok száma]]*25),"")</f>
        <v>900</v>
      </c>
      <c r="R39" s="305" cm="1">
        <f t="array" ref="R39">(H39*_xlfn.XLOOKUP(B39,Terméklista!$B$2:$B$103,Terméklista!F$2:$F$103,))/1000</f>
        <v>850</v>
      </c>
      <c r="S39" s="220">
        <f>IFERROR(((H39/_xlfn.XLOOKUP(B39,Terméklista!$B$2:$B$103,Terméklista!$E$2:$E$103)*_xlfn.XLOOKUP(B39,Terméklista!$B$2:$B$103,Terméklista!$I$2:$I$103)))/3600," ")</f>
        <v>34.722222222222221</v>
      </c>
      <c r="T39" s="212" t="s">
        <v>567</v>
      </c>
    </row>
    <row r="40" spans="1:1189" s="212" customFormat="1" hidden="1">
      <c r="A40" s="212" t="s">
        <v>156</v>
      </c>
      <c r="B40" s="368" t="s">
        <v>103</v>
      </c>
      <c r="C40" s="214" t="str">
        <f>IFERROR(_xlfn.XLOOKUP(B40,Terméklista!$B$2:$B$103,Terméklista!$C$2:$C$103,)," ")</f>
        <v>lakattal zárható zárház</v>
      </c>
      <c r="D40" s="214"/>
      <c r="E40" s="213" t="s">
        <v>495</v>
      </c>
      <c r="F40" s="214" t="str">
        <f>_xlfn.XLOOKUP(B40,Terméklista!$B$2:$B$103,Terméklista!$G$2:$G$103," ")</f>
        <v xml:space="preserve"> Z410</v>
      </c>
      <c r="G40" s="215">
        <v>5696</v>
      </c>
      <c r="H40" s="216">
        <v>200</v>
      </c>
      <c r="I40" s="217" t="d">
        <v>2025-04-25</v>
      </c>
      <c r="J40" s="217" t="d">
        <v>2025-04-28</v>
      </c>
      <c r="K40" s="217"/>
      <c r="L40" s="213" t="s">
        <v>53</v>
      </c>
      <c r="M40" s="213"/>
      <c r="N40" s="214" t="str">
        <f>IFERROR(_xlfn.XLOOKUP(B40,Terméklista!B41:B142,Terméklista!H41:H142)," ")</f>
        <v xml:space="preserve"> </v>
      </c>
      <c r="O40" s="218" t="str">
        <f>IFERROR(ROUNDUP(Rendelés[[#This Row],[Amount/pc]]/_xlfn.XLOOKUP(B40,Terméklista!$B$2:$B$103,Terméklista!$M$2:$M$103,),0)," ")</f>
        <v xml:space="preserve"> </v>
      </c>
      <c r="P40" s="212" t="str">
        <f>IFERROR(ROUNDUP(Rendelés[[#This Row],[Dobozok száma]]/_xlfn.XLOOKUP(B40,Terméklista!$B$2:$B$103,Terméklista!$N$2:$N$103,),0)," ")</f>
        <v xml:space="preserve"> </v>
      </c>
      <c r="Q40" s="219" t="str">
        <f>IFERROR(Rendelés[[#This Row],[Szükséges anyagmennyiség]]+(Rendelés[[#This Row],[Össz raklapok száma]]*25),"")</f>
        <v/>
      </c>
      <c r="R40" s="305" cm="1">
        <f t="array" ref="R40">(H40*_xlfn.XLOOKUP(B40,Terméklista!$B$2:$B$103,Terméklista!F$2:$F$103,))/1000</f>
        <v>18.512</v>
      </c>
      <c r="S40" s="220">
        <f>IFERROR(((H40/_xlfn.XLOOKUP(B40,Terméklista!$B$2:$B$103,Terméklista!$E$2:$E$103)*_xlfn.XLOOKUP(B40,Terméklista!$B$2:$B$103,Terméklista!$I$2:$I$103)))/3600," ")</f>
        <v>0.41666666666666669</v>
      </c>
      <c r="T40" s="212" t="s">
        <v>506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/>
      <c r="ANT40"/>
      <c r="ANU40"/>
      <c r="ANV40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/>
      <c r="APU40"/>
      <c r="APV40"/>
      <c r="APW40"/>
      <c r="APX40"/>
      <c r="APY40"/>
      <c r="APZ40"/>
      <c r="AQA40"/>
      <c r="AQB40"/>
      <c r="AQC40"/>
      <c r="AQD40"/>
      <c r="AQE40"/>
      <c r="AQF40"/>
      <c r="AQG40"/>
      <c r="AQH40"/>
      <c r="AQI40"/>
      <c r="AQJ40"/>
      <c r="AQK40"/>
      <c r="AQL40"/>
      <c r="AQM40"/>
      <c r="AQN40"/>
      <c r="AQO40"/>
      <c r="AQP40"/>
      <c r="AQQ40"/>
      <c r="AQR40"/>
      <c r="AQS40"/>
      <c r="AQT40"/>
      <c r="AQU40"/>
      <c r="AQV40"/>
      <c r="AQW40"/>
      <c r="AQX40"/>
      <c r="AQY40"/>
      <c r="AQZ40"/>
      <c r="ARA40"/>
      <c r="ARB40"/>
      <c r="ARC40"/>
      <c r="ARD40"/>
      <c r="ARE40"/>
      <c r="ARF40"/>
      <c r="ARG40"/>
      <c r="ARH40"/>
      <c r="ARI40"/>
      <c r="ARJ40"/>
      <c r="ARK40"/>
      <c r="ARL40"/>
      <c r="ARM40"/>
      <c r="ARN40"/>
      <c r="ARO40"/>
      <c r="ARP40"/>
      <c r="ARQ40"/>
      <c r="ARR40"/>
      <c r="ARS40"/>
      <c r="ART40"/>
      <c r="ARU40"/>
      <c r="ARV40"/>
      <c r="ARW40"/>
      <c r="ARX40"/>
      <c r="ARY40"/>
      <c r="ARZ40"/>
      <c r="ASA40"/>
      <c r="ASB40"/>
      <c r="ASC40"/>
      <c r="ASD40"/>
      <c r="ASE40"/>
      <c r="ASF40"/>
      <c r="ASG40"/>
      <c r="ASH40"/>
      <c r="ASI40"/>
      <c r="ASJ40"/>
      <c r="ASK40"/>
      <c r="ASL40"/>
      <c r="ASM40"/>
      <c r="ASN40"/>
      <c r="ASO40"/>
      <c r="ASP40"/>
      <c r="ASQ40"/>
      <c r="ASR40"/>
      <c r="ASS40"/>
    </row>
    <row r="41" spans="1:1189" s="212" customFormat="1" hidden="1">
      <c r="A41" t="s">
        <v>156</v>
      </c>
      <c r="B41" s="307" t="s">
        <v>144</v>
      </c>
      <c r="C41" s="203" t="str">
        <f>IFERROR(_xlfn.XLOOKUP(B41,Terméklista!$B$2:$B$103,Terméklista!$C$2:$C$103,)," ")</f>
        <v>kulcs 10mm 3szög</v>
      </c>
      <c r="D41" s="7"/>
      <c r="E41" s="34" t="s">
        <v>495</v>
      </c>
      <c r="F41" s="203" t="str">
        <f>_xlfn.XLOOKUP(B41,Terméklista!B42:B143,Terméklista!G42:G143," ")</f>
        <v xml:space="preserve"> </v>
      </c>
      <c r="G41" s="205">
        <v>5696</v>
      </c>
      <c r="H41" s="150">
        <v>300</v>
      </c>
      <c r="I41" s="8" t="d">
        <v>2025-04-25</v>
      </c>
      <c r="J41" s="8" t="d">
        <v>2025-04-28</v>
      </c>
      <c r="K41" s="8"/>
      <c r="L41" s="34" t="s">
        <v>53</v>
      </c>
      <c r="M41" s="34" t="s">
        <v>472</v>
      </c>
      <c r="N41" s="7" t="str">
        <f>IFERROR(_xlfn.XLOOKUP(B41,Terméklista!B42:B143,Terméklista!H42:H143)," ")</f>
        <v xml:space="preserve"> </v>
      </c>
      <c r="O41" s="147" t="str">
        <f>IFERROR(ROUNDUP(Rendelés[[#This Row],[Amount/pc]]/_xlfn.XLOOKUP(B41,Terméklista!$B$2:$B$103,Terméklista!$M$2:$M$103,),0)," ")</f>
        <v xml:space="preserve"> </v>
      </c>
      <c r="P41" t="str">
        <f>IFERROR(ROUNDUP(Rendelés[[#This Row],[Dobozok száma]]/_xlfn.XLOOKUP(B41,Terméklista!$B$2:$B$103,Terméklista!$N$2:$N$103,),0)," ")</f>
        <v xml:space="preserve"> </v>
      </c>
      <c r="Q41" s="142" t="str">
        <f>IFERROR(Rendelés[[#This Row],[Szükséges anyagmennyiség]]+(Rendelés[[#This Row],[Össz raklapok száma]]*25),"")</f>
        <v/>
      </c>
      <c r="R41" s="144" cm="1">
        <f t="array" ref="R41">(H41*_xlfn.XLOOKUP(B41,Terméklista!$B$2:$B$103,Terméklista!F$2:$F$103,))/1000</f>
        <v>7.59</v>
      </c>
      <c r="S41" s="153">
        <f>IFERROR(((H41/_xlfn.XLOOKUP(B41,Terméklista!$B$2:$B$103,Terméklista!$E$2:$E$103)*_xlfn.XLOOKUP(B41,Terméklista!$B$2:$B$103,Terméklista!$I$2:$I$103)))/3600," ")</f>
        <v>0.625</v>
      </c>
      <c r="T41" t="s">
        <v>498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/>
      <c r="AQV41"/>
      <c r="AQW41"/>
      <c r="AQX41"/>
      <c r="AQY41"/>
      <c r="AQZ41"/>
      <c r="ARA41"/>
      <c r="ARB41"/>
      <c r="ARC41"/>
      <c r="ARD41"/>
      <c r="ARE41"/>
      <c r="ARF41"/>
      <c r="ARG41"/>
      <c r="ARH41"/>
      <c r="ARI41"/>
      <c r="ARJ41"/>
      <c r="ARK41"/>
      <c r="ARL41"/>
      <c r="ARM41"/>
      <c r="ARN41"/>
      <c r="ARO41"/>
      <c r="ARP41"/>
      <c r="ARQ41"/>
      <c r="ARR41"/>
      <c r="ARS41"/>
      <c r="ART41"/>
      <c r="ARU41"/>
      <c r="ARV41"/>
      <c r="ARW41"/>
      <c r="ARX41"/>
      <c r="ARY41"/>
      <c r="ARZ41"/>
      <c r="ASA41"/>
      <c r="ASB41"/>
      <c r="ASC41"/>
      <c r="ASD41"/>
      <c r="ASE41"/>
      <c r="ASF41"/>
      <c r="ASG41"/>
      <c r="ASH41"/>
      <c r="ASI41"/>
      <c r="ASJ41"/>
      <c r="ASK41"/>
      <c r="ASL41"/>
      <c r="ASM41"/>
      <c r="ASN41"/>
      <c r="ASO41"/>
      <c r="ASP41"/>
      <c r="ASQ41"/>
      <c r="ASR41"/>
      <c r="ASS41"/>
    </row>
    <row r="42" spans="1:1189" s="212" customFormat="1" hidden="1">
      <c r="A42" s="212" t="s">
        <v>182</v>
      </c>
      <c r="B42" s="318" t="s">
        <v>469</v>
      </c>
      <c r="C42" s="214" t="str">
        <f>IFERROR(_xlfn.XLOOKUP(B42,Terméklista!$B$2:$B$103,Terméklista!$C$2:$C$103,)," ")</f>
        <v>Euroloc 1</v>
      </c>
      <c r="D42" s="214"/>
      <c r="E42" s="213" t="s">
        <v>497</v>
      </c>
      <c r="F42" s="214" t="str">
        <f>_xlfn.XLOOKUP(B42,Terméklista!$B$2:$B$103,Terméklista!$G$2:$G$103," ")</f>
        <v xml:space="preserve"> Z410</v>
      </c>
      <c r="G42" s="215">
        <v>26764</v>
      </c>
      <c r="H42" s="216">
        <v>10000</v>
      </c>
      <c r="I42" s="217" t="d">
        <v>2025-04-30</v>
      </c>
      <c r="J42" s="217" t="d">
        <v>2025-06-04</v>
      </c>
      <c r="K42" s="217" t="d">
        <v>2025-06-04</v>
      </c>
      <c r="L42" s="213" t="s">
        <v>53</v>
      </c>
      <c r="M42" s="213"/>
      <c r="N42" s="214" t="str">
        <f>_xlfn.XLOOKUP(J42,Terméklista!$B$2:$B$103,Terméklista!$H$2:$H$103," ")</f>
        <v xml:space="preserve"> </v>
      </c>
      <c r="O42" s="218">
        <f>IFERROR(ROUNDUP(Rendelés[[#This Row],[Amount/pc]]/_xlfn.XLOOKUP(B42,Terméklista!$B$2:$B$103,Terméklista!$M$2:$M$103,),0)," ")</f>
        <v>20</v>
      </c>
      <c r="P42" s="212">
        <f>IFERROR(ROUNDUP(Rendelés[[#This Row],[Dobozok száma]]/_xlfn.XLOOKUP(B42,Terméklista!$B$2:$B$103,Terméklista!$N$2:$N$103,),0)," ")</f>
        <v>1</v>
      </c>
      <c r="Q42" s="219">
        <f>IFERROR(Rendelés[[#This Row],[Szükséges anyagmennyiség]]+(Rendelés[[#This Row],[Össz raklapok száma]]*25),"")</f>
        <v>212</v>
      </c>
      <c r="R42" s="305" cm="1">
        <f t="array" ref="R42">(H42*_xlfn.XLOOKUP(B42,Terméklista!$B$2:$B$103,Terméklista!F$2:$F$103,))/1000</f>
        <v>187</v>
      </c>
      <c r="S42" s="220">
        <f>IFERROR(((H42/_xlfn.XLOOKUP(B42,Terméklista!$B$2:$B$103,Terméklista!$E$2:$E$103)*_xlfn.XLOOKUP(B42,Terméklista!$B$2:$B$103,Terméklista!$I$2:$I$103)))/3600," ")</f>
        <v>20.833333333333332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/>
      <c r="ANR42"/>
      <c r="ANS42"/>
      <c r="ANT42"/>
      <c r="ANU42"/>
      <c r="ANV42"/>
      <c r="ANW42"/>
      <c r="ANX42"/>
      <c r="ANY42"/>
      <c r="ANZ42"/>
      <c r="AOA42"/>
      <c r="AOB42"/>
      <c r="AOC42"/>
      <c r="AOD42"/>
      <c r="AOE42"/>
      <c r="AOF42"/>
      <c r="AOG42"/>
      <c r="AOH42"/>
      <c r="AOI42"/>
      <c r="AOJ42"/>
      <c r="AOK42"/>
      <c r="AOL42"/>
      <c r="AOM42"/>
      <c r="AON42"/>
      <c r="AOO42"/>
      <c r="AOP42"/>
      <c r="AOQ42"/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/>
      <c r="APF42"/>
      <c r="APG42"/>
      <c r="APH42"/>
      <c r="API42"/>
      <c r="APJ42"/>
      <c r="APK42"/>
      <c r="APL42"/>
      <c r="APM42"/>
      <c r="APN42"/>
      <c r="APO42"/>
      <c r="APP42"/>
      <c r="APQ42"/>
      <c r="APR42"/>
      <c r="APS42"/>
      <c r="APT42"/>
      <c r="APU42"/>
      <c r="APV42"/>
      <c r="APW42"/>
      <c r="APX42"/>
      <c r="APY42"/>
      <c r="APZ42"/>
      <c r="AQA42"/>
      <c r="AQB42"/>
      <c r="AQC42"/>
      <c r="AQD42"/>
      <c r="AQE42"/>
      <c r="AQF42"/>
      <c r="AQG42"/>
      <c r="AQH42"/>
      <c r="AQI42"/>
      <c r="AQJ42"/>
      <c r="AQK42"/>
      <c r="AQL42"/>
      <c r="AQM42"/>
      <c r="AQN42"/>
      <c r="AQO42"/>
      <c r="AQP42"/>
      <c r="AQQ42"/>
      <c r="AQR42"/>
      <c r="AQS42"/>
      <c r="AQT42"/>
      <c r="AQU42"/>
      <c r="AQV42"/>
      <c r="AQW42"/>
      <c r="AQX42"/>
      <c r="AQY42"/>
      <c r="AQZ42"/>
      <c r="ARA42"/>
      <c r="ARB42"/>
      <c r="ARC42"/>
      <c r="ARD42"/>
      <c r="ARE42"/>
      <c r="ARF42"/>
      <c r="ARG42"/>
      <c r="ARH42"/>
      <c r="ARI42"/>
      <c r="ARJ42"/>
      <c r="ARK42"/>
      <c r="ARL42"/>
      <c r="ARM42"/>
      <c r="ARN42"/>
      <c r="ARO42"/>
      <c r="ARP42"/>
      <c r="ARQ42"/>
      <c r="ARR42"/>
      <c r="ARS42"/>
      <c r="ART42"/>
      <c r="ARU42"/>
      <c r="ARV42"/>
      <c r="ARW42"/>
      <c r="ARX42"/>
      <c r="ARY42"/>
      <c r="ARZ42"/>
      <c r="ASA42"/>
      <c r="ASB42"/>
      <c r="ASC42"/>
      <c r="ASD42"/>
      <c r="ASE42"/>
      <c r="ASF42"/>
      <c r="ASG42"/>
      <c r="ASH42"/>
      <c r="ASI42"/>
      <c r="ASJ42"/>
      <c r="ASK42"/>
      <c r="ASL42"/>
      <c r="ASM42"/>
      <c r="ASN42"/>
      <c r="ASO42"/>
      <c r="ASP42"/>
      <c r="ASQ42"/>
      <c r="ASR42"/>
      <c r="ASS42"/>
    </row>
    <row r="43" spans="1:1189">
      <c r="A43" t="s">
        <v>159</v>
      </c>
      <c r="B43" s="307"/>
      <c r="C43" s="203">
        <f>IFERROR(_xlfn.XLOOKUP(B43,Terméklista!$B$2:$B$103,Terméklista!$C$2:$C$103,)," ")</f>
        <v>0</v>
      </c>
      <c r="D43" t="s">
        <v>500</v>
      </c>
      <c r="E43" s="34" t="s">
        <v>517</v>
      </c>
      <c r="F43" s="203">
        <f>_xlfn.XLOOKUP(B43,Terméklista!$B$2:$B$103,Terméklista!$G$2:$G$103," ")</f>
        <v>0</v>
      </c>
      <c r="I43" s="8" t="d">
        <v>2025-05-07</v>
      </c>
      <c r="J43" s="8" t="d">
        <v>2025-07-16</v>
      </c>
      <c r="N43" s="203" t="str">
        <f>_xlfn.XLOOKUP(J43,Terméklista!$B$2:$B$103,Terméklista!$H$2:$H$103," ")</f>
        <v xml:space="preserve"> </v>
      </c>
      <c r="O43" s="147" t="str">
        <f>IFERROR(ROUNDUP(Rendelés[[#This Row],[Amount/pc]]/_xlfn.XLOOKUP(B43,Terméklista!$B$2:$B$103,Terméklista!$M$2:$M$103,),0)," ")</f>
        <v xml:space="preserve"> </v>
      </c>
      <c r="P43" t="str">
        <f>IFERROR(ROUNDUP(Rendelés[[#This Row],[Dobozok száma]]/_xlfn.XLOOKUP(B43,Terméklista!$B$2:$B$103,Terméklista!$N$2:$N$103,),0)," ")</f>
        <v xml:space="preserve"> </v>
      </c>
      <c r="Q43" s="142" t="str">
        <f>IFERROR(Rendelés[[#This Row],[Szükséges anyagmennyiség]]+(Rendelés[[#This Row],[Össz raklapok száma]]*25),"")</f>
        <v/>
      </c>
      <c r="R43" s="144" cm="1">
        <f t="array" ref="R43">(H43*_xlfn.XLOOKUP(B43,Terméklista!$B$2:$B$103,Terméklista!F$2:$F$103,))/1000</f>
        <v>0</v>
      </c>
      <c r="S43" s="153" t="str">
        <f>IFERROR(((H43/_xlfn.XLOOKUP(B43,Terméklista!$B$2:$B$103,Terméklista!$E$2:$E$103)*_xlfn.XLOOKUP(B43,Terméklista!$B$2:$B$103,Terméklista!$I$2:$I$103)))/3600," ")</f>
        <v xml:space="preserve"> </v>
      </c>
      <c r="U43" s="408" t="s">
        <v>704</v>
      </c>
    </row>
    <row r="44" spans="1:1189" hidden="1">
      <c r="A44" s="212" t="s">
        <v>156</v>
      </c>
      <c r="B44" s="318" t="s">
        <v>135</v>
      </c>
      <c r="C44" s="214" t="str">
        <f>IFERROR(_xlfn.XLOOKUP(B44,Terméklista!$B$2:$B$103,Terméklista!$C$2:$C$103,)," ")</f>
        <v>vésznyitó</v>
      </c>
      <c r="D44" s="214"/>
      <c r="E44" s="213" t="s">
        <v>502</v>
      </c>
      <c r="F44" s="214" t="str">
        <f>_xlfn.XLOOKUP(B44,Terméklista!$B$2:$B$103,Terméklista!$G$2:$G$103," ")</f>
        <v xml:space="preserve"> Z410</v>
      </c>
      <c r="G44" s="215">
        <v>5719</v>
      </c>
      <c r="H44" s="216">
        <v>200</v>
      </c>
      <c r="I44" s="217" t="d">
        <v>2025-05-14</v>
      </c>
      <c r="J44" s="217" t="d">
        <v>2025-06-02</v>
      </c>
      <c r="K44" s="217" t="d">
        <v>2025-06-16</v>
      </c>
      <c r="L44" s="213" t="s">
        <v>53</v>
      </c>
      <c r="M44" s="213"/>
      <c r="N44" s="214" t="str">
        <f>_xlfn.XLOOKUP(J44,Terméklista!$B$2:$B$103,Terméklista!$H$2:$H$103," ")</f>
        <v xml:space="preserve"> </v>
      </c>
      <c r="O44" s="218" t="str">
        <f>IFERROR(ROUNDUP(Rendelés[[#This Row],[Amount/pc]]/_xlfn.XLOOKUP(B44,Terméklista!$B$2:$B$103,Terméklista!$M$2:$M$103,),0)," ")</f>
        <v xml:space="preserve"> </v>
      </c>
      <c r="P44" s="212" t="str">
        <f>IFERROR(ROUNDUP(Rendelés[[#This Row],[Dobozok száma]]/_xlfn.XLOOKUP(B44,Terméklista!$B$2:$B$103,Terméklista!$N$2:$N$103,),0)," ")</f>
        <v xml:space="preserve"> </v>
      </c>
      <c r="Q44" s="219" t="str">
        <f>IFERROR(Rendelés[[#This Row],[Szükséges anyagmennyiség]]+(Rendelés[[#This Row],[Össz raklapok száma]]*25),"")</f>
        <v/>
      </c>
      <c r="R44" s="305" cm="1">
        <f t="array" ref="R44">(H44*_xlfn.XLOOKUP(B44,Terméklista!$B$2:$B$103,Terméklista!F$2:$F$103,))/1000</f>
        <v>11.22</v>
      </c>
      <c r="S44" s="220">
        <f>IFERROR(((H44/_xlfn.XLOOKUP(B44,Terméklista!$B$2:$B$103,Terméklista!$E$2:$E$103)*_xlfn.XLOOKUP(B44,Terméklista!$B$2:$B$103,Terméklista!$I$2:$I$103)))/3600," ")</f>
        <v>0.83333333333333337</v>
      </c>
      <c r="T44" s="212" t="s">
        <v>558</v>
      </c>
    </row>
    <row r="45" spans="1:1189" hidden="1">
      <c r="A45" s="212" t="s">
        <v>156</v>
      </c>
      <c r="B45" s="318" t="s">
        <v>134</v>
      </c>
      <c r="C45" s="214" t="str">
        <f>IFERROR(_xlfn.XLOOKUP(B45,Terméklista!$B$2:$B$103,Terméklista!$C$2:$C$103,)," ")</f>
        <v>zártest</v>
      </c>
      <c r="D45" s="214"/>
      <c r="E45" s="213" t="s">
        <v>502</v>
      </c>
      <c r="F45" s="214" t="str">
        <f>_xlfn.XLOOKUP(B45,Terméklista!$B$2:$B$103,Terméklista!$G$2:$G$103," ")</f>
        <v xml:space="preserve"> Z410</v>
      </c>
      <c r="G45" s="215">
        <v>5719</v>
      </c>
      <c r="H45" s="216">
        <v>200</v>
      </c>
      <c r="I45" s="217" t="d">
        <v>2025-05-14</v>
      </c>
      <c r="J45" s="217" t="d">
        <v>2025-06-02</v>
      </c>
      <c r="K45" s="217" t="d">
        <v>2025-06-16</v>
      </c>
      <c r="L45" s="214" t="s">
        <v>53</v>
      </c>
      <c r="M45" s="214"/>
      <c r="N45" s="214" t="str">
        <f>_xlfn.XLOOKUP(J45,Terméklista!$B$2:$B$103,Terméklista!$H$2:$H$103," ")</f>
        <v xml:space="preserve"> </v>
      </c>
      <c r="O45" s="218" t="str">
        <f>IFERROR(ROUNDUP(Rendelés[[#This Row],[Amount/pc]]/_xlfn.XLOOKUP(B45,Terméklista!$B$2:$B$103,Terméklista!$M$2:$M$103,),0)," ")</f>
        <v xml:space="preserve"> </v>
      </c>
      <c r="P45" s="212" t="str">
        <f>IFERROR(ROUNDUP(Rendelés[[#This Row],[Dobozok száma]]/_xlfn.XLOOKUP(B45,Terméklista!$B$2:$B$103,Terméklista!$N$2:$N$103,),0)," ")</f>
        <v xml:space="preserve"> </v>
      </c>
      <c r="Q45" s="219" t="str">
        <f>IFERROR(Rendelés[[#This Row],[Szükséges anyagmennyiség]]+(Rendelés[[#This Row],[Össz raklapok száma]]*25),"")</f>
        <v/>
      </c>
      <c r="R45" s="305" cm="1">
        <f t="array" ref="R45">(H45*_xlfn.XLOOKUP(B45,Terméklista!$B$2:$B$103,Terméklista!F$2:$F$103,))/1000</f>
        <v>60</v>
      </c>
      <c r="S45" s="220">
        <f>IFERROR(((H45/_xlfn.XLOOKUP(B45,Terméklista!$B$2:$B$103,Terméklista!$E$2:$E$103)*_xlfn.XLOOKUP(B45,Terméklista!$B$2:$B$103,Terméklista!$I$2:$I$103)))/3600," ")</f>
        <v>0.83333333333333337</v>
      </c>
      <c r="T45" s="212" t="s">
        <v>558</v>
      </c>
    </row>
    <row r="46" spans="1:1189" hidden="1">
      <c r="A46" s="212" t="s">
        <v>156</v>
      </c>
      <c r="B46" s="318" t="s">
        <v>136</v>
      </c>
      <c r="C46" s="214" t="str">
        <f>IFERROR(_xlfn.XLOOKUP(B46,Terméklista!$B$2:$B$103,Terméklista!$C$2:$C$103,)," ")</f>
        <v>zárnyelv</v>
      </c>
      <c r="D46" s="214"/>
      <c r="E46" s="213" t="s">
        <v>502</v>
      </c>
      <c r="F46" s="214" t="str">
        <f>_xlfn.XLOOKUP(B46,Terméklista!$B$2:$B$103,Terméklista!$G$2:$G$103," ")</f>
        <v xml:space="preserve"> Z410</v>
      </c>
      <c r="G46" s="215">
        <v>5719</v>
      </c>
      <c r="H46" s="216">
        <v>200</v>
      </c>
      <c r="I46" s="217" t="d">
        <v>2025-05-14</v>
      </c>
      <c r="J46" s="217" t="d">
        <v>2025-06-02</v>
      </c>
      <c r="K46" s="217" t="d">
        <v>2025-06-16</v>
      </c>
      <c r="L46" s="214" t="s">
        <v>53</v>
      </c>
      <c r="M46" s="214"/>
      <c r="N46" s="214" t="str">
        <f>_xlfn.XLOOKUP(J46,Terméklista!$B$2:$B$103,Terméklista!$H$2:$H$103," ")</f>
        <v xml:space="preserve"> </v>
      </c>
      <c r="O46" s="218" t="str">
        <f>IFERROR(ROUNDUP(Rendelés[[#This Row],[Amount/pc]]/_xlfn.XLOOKUP(B46,Terméklista!$B$2:$B$103,Terméklista!$M$2:$M$103,),0)," ")</f>
        <v xml:space="preserve"> </v>
      </c>
      <c r="P46" s="212" t="str">
        <f>IFERROR(ROUNDUP(Rendelés[[#This Row],[Dobozok száma]]/_xlfn.XLOOKUP(B46,Terméklista!$B$2:$B$103,Terméklista!$N$2:$N$103,),0)," ")</f>
        <v xml:space="preserve"> </v>
      </c>
      <c r="Q46" s="219" t="str">
        <f>IFERROR(Rendelés[[#This Row],[Szükséges anyagmennyiség]]+(Rendelés[[#This Row],[Össz raklapok száma]]*25),"")</f>
        <v/>
      </c>
      <c r="R46" s="305" cm="1">
        <f t="array" ref="R46">(H46*_xlfn.XLOOKUP(B46,Terméklista!$B$2:$B$103,Terméklista!F$2:$F$103,))/1000</f>
        <v>5.0199999999999996</v>
      </c>
      <c r="S46" s="220">
        <f>IFERROR(((H46/_xlfn.XLOOKUP(B46,Terméklista!$B$2:$B$103,Terméklista!$E$2:$E$103)*_xlfn.XLOOKUP(B46,Terméklista!$B$2:$B$103,Terméklista!$I$2:$I$103)))/3600," ")</f>
        <v>0.83333333333333337</v>
      </c>
      <c r="T46" s="212" t="s">
        <v>558</v>
      </c>
    </row>
    <row r="47" spans="1:1189" hidden="1">
      <c r="A47" s="212" t="s">
        <v>180</v>
      </c>
      <c r="B47" s="318" t="s">
        <v>17</v>
      </c>
      <c r="C47" s="214" t="str">
        <f>IFERROR(_xlfn.XLOOKUP(B47,Terméklista!$B$2:$B$103,Terméklista!$C$2:$C$103,)," ")</f>
        <v>Zamak Gewicht</v>
      </c>
      <c r="D47" s="212" t="s">
        <v>501</v>
      </c>
      <c r="E47" s="213" t="s">
        <v>516</v>
      </c>
      <c r="F47" s="214" t="str">
        <f>_xlfn.XLOOKUP(B47,Terméklista!$B$2:$B$103,Terméklista!$G$2:$G$103," ")</f>
        <v xml:space="preserve"> Z410</v>
      </c>
      <c r="G47" s="215">
        <v>4500101596</v>
      </c>
      <c r="H47" s="216">
        <v>50000</v>
      </c>
      <c r="I47" s="217" t="d">
        <v>2025-05-19</v>
      </c>
      <c r="J47" s="217" t="d">
        <v>2025-09-08</v>
      </c>
      <c r="K47" s="217" t="d">
        <v>2025-09-05</v>
      </c>
      <c r="L47" s="213" t="s">
        <v>53</v>
      </c>
      <c r="M47" s="213" t="s">
        <v>472</v>
      </c>
      <c r="N47" s="214" t="str">
        <f>_xlfn.XLOOKUP(J47,Terméklista!$B$2:$B$103,Terméklista!$H$2:$H$103," ")</f>
        <v xml:space="preserve"> </v>
      </c>
      <c r="O47" s="218">
        <f>IFERROR(ROUNDUP(Rendelés[[#This Row],[Amount/pc]]/_xlfn.XLOOKUP(B47,Terméklista!$B$2:$B$103,Terméklista!$M$2:$M$103,),0)," ")</f>
        <v>143</v>
      </c>
      <c r="P47" s="212">
        <f>IFERROR(ROUNDUP(Rendelés[[#This Row],[Dobozok száma]]/_xlfn.XLOOKUP(B47,Terméklista!$B$2:$B$103,Terméklista!$N$2:$N$103,),0)," ")</f>
        <v>2</v>
      </c>
      <c r="Q47" s="219">
        <f>IFERROR(Rendelés[[#This Row],[Szükséges anyagmennyiség]]+(Rendelés[[#This Row],[Össz raklapok száma]]*25),"")</f>
        <v>900</v>
      </c>
      <c r="R47" s="305" cm="1">
        <f t="array" ref="R47">(H47*_xlfn.XLOOKUP(B47,Terméklista!$B$2:$B$103,Terméklista!F$2:$F$103,))/1000</f>
        <v>850</v>
      </c>
      <c r="S47" s="220">
        <f>IFERROR(((H47/_xlfn.XLOOKUP(B47,Terméklista!$B$2:$B$103,Terméklista!$E$2:$E$103)*_xlfn.XLOOKUP(B47,Terméklista!$B$2:$B$103,Terméklista!$I$2:$I$103)))/3600," ")</f>
        <v>34.722222222222221</v>
      </c>
      <c r="T47" s="212" t="s">
        <v>570</v>
      </c>
    </row>
    <row r="48" spans="1:1189" hidden="1">
      <c r="A48" s="212" t="s">
        <v>156</v>
      </c>
      <c r="B48" s="318" t="s">
        <v>116</v>
      </c>
      <c r="C48" s="214" t="str">
        <f>IFERROR(_xlfn.XLOOKUP(B48,Terméklista!$B$2:$B$103,Terméklista!$C$2:$C$103,)," ")</f>
        <v>nagykulcs - 3mm</v>
      </c>
      <c r="D48" s="214"/>
      <c r="E48" s="213" t="s">
        <v>522</v>
      </c>
      <c r="F48" s="214" t="str">
        <f>_xlfn.XLOOKUP(B48,Terméklista!$B$2:$B$103,Terméklista!$G$2:$G$103," ")</f>
        <v xml:space="preserve"> Z410</v>
      </c>
      <c r="G48" s="215">
        <v>5743</v>
      </c>
      <c r="H48" s="216">
        <v>1000</v>
      </c>
      <c r="I48" s="217" t="d">
        <v>2025-05-26</v>
      </c>
      <c r="J48" s="217" t="d">
        <v>2025-06-17</v>
      </c>
      <c r="K48" s="217" t="d">
        <v>2025-06-16</v>
      </c>
      <c r="L48" s="213" t="s">
        <v>53</v>
      </c>
      <c r="M48" s="213"/>
      <c r="N48" s="214" t="str">
        <f>IFERROR(_xlfn.XLOOKUP(B48,Terméklista!B52:B153,Terméklista!H52:H153)," ")</f>
        <v xml:space="preserve"> </v>
      </c>
      <c r="O48" s="218" t="str">
        <f>IFERROR(ROUNDUP(Rendelés[[#This Row],[Amount/pc]]/_xlfn.XLOOKUP(B48,Terméklista!$B$2:$B$103,Terméklista!$M$2:$M$103,),0)," ")</f>
        <v xml:space="preserve"> </v>
      </c>
      <c r="P48" s="212" t="str">
        <f>IFERROR(ROUNDUP(Rendelés[[#This Row],[Dobozok száma]]/_xlfn.XLOOKUP(B48,Terméklista!$B$2:$B$103,Terméklista!$N$2:$N$103,),0)," ")</f>
        <v xml:space="preserve"> </v>
      </c>
      <c r="Q48" s="219" t="str">
        <f>IFERROR(Rendelés[[#This Row],[Szükséges anyagmennyiség]]+(Rendelés[[#This Row],[Össz raklapok száma]]*25),"")</f>
        <v/>
      </c>
      <c r="R48" s="305" cm="1">
        <f t="array" ref="R48">(H48*_xlfn.XLOOKUP(B48,Terméklista!$B$2:$B$103,Terméklista!F$2:$F$103,))/1000</f>
        <v>47.550000000000004</v>
      </c>
      <c r="S48" s="220">
        <f>IFERROR(((H48/_xlfn.XLOOKUP(B48,Terméklista!$B$2:$B$103,Terméklista!$E$2:$E$103)*_xlfn.XLOOKUP(B48,Terméklista!$B$2:$B$103,Terméklista!$I$2:$I$103)))/3600," ")</f>
        <v>2.0833333333333335</v>
      </c>
      <c r="T48" s="212" t="s">
        <v>558</v>
      </c>
    </row>
    <row r="49" spans="1:1189" hidden="1">
      <c r="A49" s="212" t="s">
        <v>156</v>
      </c>
      <c r="B49" s="318" t="s">
        <v>112</v>
      </c>
      <c r="C49" s="214" t="str">
        <f>IFERROR(_xlfn.XLOOKUP(B49,Terméklista!$B$2:$B$103,Terméklista!$C$2:$C$103,)," ")</f>
        <v>kiskulcs - 3mm</v>
      </c>
      <c r="D49" s="212" t="s">
        <v>503</v>
      </c>
      <c r="E49" s="213" t="s">
        <v>523</v>
      </c>
      <c r="F49" s="214" t="str">
        <f>_xlfn.XLOOKUP(B49,Terméklista!$B$2:$B$103,Terméklista!$G$2:$G$103," ")</f>
        <v xml:space="preserve"> Z410</v>
      </c>
      <c r="G49" s="215">
        <v>5745</v>
      </c>
      <c r="H49" s="216">
        <v>2000</v>
      </c>
      <c r="I49" s="217" t="d">
        <v>2025-05-27</v>
      </c>
      <c r="J49" s="217" t="d">
        <v>2025-05-28</v>
      </c>
      <c r="K49" s="217" t="d">
        <v>2025-05-29</v>
      </c>
      <c r="L49" s="213" t="s">
        <v>53</v>
      </c>
      <c r="M49" s="213" t="s">
        <v>472</v>
      </c>
      <c r="N49" s="214" t="str">
        <f>IFERROR(_xlfn.XLOOKUP(B49,Terméklista!B53:B154,Terméklista!H53:H154)," ")</f>
        <v xml:space="preserve"> </v>
      </c>
      <c r="O49" s="218" t="str">
        <f>IFERROR(ROUNDUP(Rendelés[[#This Row],[Amount/pc]]/_xlfn.XLOOKUP(B49,Terméklista!$B$2:$B$103,Terméklista!$M$2:$M$103,),0)," ")</f>
        <v xml:space="preserve"> </v>
      </c>
      <c r="P49" s="212" t="str">
        <f>IFERROR(ROUNDUP(Rendelés[[#This Row],[Dobozok száma]]/_xlfn.XLOOKUP(B49,Terméklista!$B$2:$B$103,Terméklista!$N$2:$N$103,),0)," ")</f>
        <v xml:space="preserve"> </v>
      </c>
      <c r="Q49" s="219" t="str">
        <f>IFERROR(Rendelés[[#This Row],[Szükséges anyagmennyiség]]+(Rendelés[[#This Row],[Össz raklapok száma]]*25),"")</f>
        <v/>
      </c>
      <c r="R49" s="305" cm="1">
        <f t="array" ref="R49">(H49*_xlfn.XLOOKUP(B49,Terméklista!$B$2:$B$103,Terméklista!F$2:$F$103,))/1000</f>
        <v>45.6</v>
      </c>
      <c r="S49" s="220">
        <f>IFERROR(((H49/_xlfn.XLOOKUP(B49,Terméklista!$B$2:$B$103,Terméklista!$E$2:$E$103)*_xlfn.XLOOKUP(B49,Terméklista!$B$2:$B$103,Terméklista!$I$2:$I$103)))/3600," ")</f>
        <v>4.166666666666667</v>
      </c>
      <c r="T49" s="212" t="s">
        <v>507</v>
      </c>
    </row>
    <row r="50" spans="1:1189" s="212" customFormat="1" hidden="1">
      <c r="A50" s="212" t="s">
        <v>180</v>
      </c>
      <c r="B50" s="318" t="s">
        <v>20</v>
      </c>
      <c r="C50" s="214" t="str">
        <f>IFERROR(_xlfn.XLOOKUP(B50,Terméklista!$B$2:$B$103,Terméklista!$C$2:$C$103,)," ")</f>
        <v>Zamak Gewicht</v>
      </c>
      <c r="D50" s="214"/>
      <c r="E50" s="213" t="s">
        <v>543</v>
      </c>
      <c r="F50" s="214" t="s">
        <v>81</v>
      </c>
      <c r="G50" s="215">
        <v>4500101783</v>
      </c>
      <c r="H50" s="216">
        <v>25000</v>
      </c>
      <c r="I50" s="217" t="d">
        <v>2025-06-03</v>
      </c>
      <c r="J50" s="217" t="d">
        <v>2025-09-08</v>
      </c>
      <c r="K50" s="217" t="d">
        <v>2025-09-05</v>
      </c>
      <c r="L50" s="213" t="s">
        <v>53</v>
      </c>
      <c r="M50" s="213" t="s">
        <v>472</v>
      </c>
      <c r="N50" s="214">
        <f>IFERROR(_xlfn.XLOOKUP(B50,Terméklista!B55:B156,Terméklista!H55:H156)," ")</f>
        <v>0</v>
      </c>
      <c r="O50" s="218">
        <f>IFERROR(ROUNDUP(Rendelés[[#This Row],[Amount/pc]]/_xlfn.XLOOKUP(B50,Terméklista!$B$2:$B$103,Terméklista!$M$2:$M$103,),0)," ")</f>
        <v>50</v>
      </c>
      <c r="P50" s="212">
        <f>IFERROR(ROUNDUP(Rendelés[[#This Row],[Dobozok száma]]/_xlfn.XLOOKUP(B50,Terméklista!$B$2:$B$103,Terméklista!$N$2:$N$103,),0)," ")</f>
        <v>1</v>
      </c>
      <c r="Q50" s="219">
        <f>IFERROR(Rendelés[[#This Row],[Szükséges anyagmennyiség]]+(Rendelés[[#This Row],[Össz raklapok száma]]*25),"")</f>
        <v>560.75</v>
      </c>
      <c r="R50" s="305" cm="1">
        <f t="array" ref="R50">(H50*_xlfn.XLOOKUP(B50,Terméklista!$B$2:$B$103,Terméklista!F$2:$F$103,))/1000</f>
        <v>535.75</v>
      </c>
      <c r="S50" s="220">
        <f>IFERROR(((H50/_xlfn.XLOOKUP(B50,Terméklista!$B$2:$B$103,Terméklista!$E$2:$E$103)*_xlfn.XLOOKUP(B50,Terméklista!$B$2:$B$103,Terméklista!$I$2:$I$103)))/3600," ")</f>
        <v>34.722222222222221</v>
      </c>
      <c r="T50" s="212" t="s">
        <v>570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</row>
    <row r="51" spans="1:1189" s="212" customFormat="1" hidden="1">
      <c r="A51" s="212" t="s">
        <v>180</v>
      </c>
      <c r="B51" s="318" t="s">
        <v>16</v>
      </c>
      <c r="C51" s="214" t="str">
        <f>IFERROR(_xlfn.XLOOKUP(B51,Terméklista!$B$2:$B$103,Terméklista!$C$2:$C$103,)," ")</f>
        <v>Zamak Gewicht</v>
      </c>
      <c r="D51" s="214" t="s">
        <v>559</v>
      </c>
      <c r="F51" s="214" t="str">
        <f>_xlfn.XLOOKUP(B51,Terméklista!B61:B162,Terméklista!G61:G162," ")</f>
        <v xml:space="preserve"> Z410</v>
      </c>
      <c r="G51" s="215">
        <v>4500102067</v>
      </c>
      <c r="H51" s="216">
        <v>350000</v>
      </c>
      <c r="I51" s="217" t="d">
        <v>2025-06-23</v>
      </c>
      <c r="J51" s="217" t="d">
        <v>2025-08-11</v>
      </c>
      <c r="K51" s="217" t="d">
        <v>2025-08-12</v>
      </c>
      <c r="L51" s="213" t="s">
        <v>53</v>
      </c>
      <c r="M51" s="213" t="s">
        <v>472</v>
      </c>
      <c r="N51" s="214">
        <f>IFERROR(_xlfn.XLOOKUP(B51,Terméklista!B61:B162,Terméklista!H61:H162)," ")</f>
        <v>0</v>
      </c>
      <c r="O51" s="218">
        <f>IFERROR(ROUNDUP(Rendelés[[#This Row],[Amount/pc]]/_xlfn.XLOOKUP(B51,Terméklista!$B$2:$B$103,Terméklista!$M$2:$M$103,),0)," ")</f>
        <v>700</v>
      </c>
      <c r="P51" s="212">
        <f>IFERROR(ROUNDUP(Rendelés[[#This Row],[Dobozok száma]]/_xlfn.XLOOKUP(B51,Terméklista!$B$2:$B$103,Terméklista!$N$2:$N$103,),0)," ")</f>
        <v>8</v>
      </c>
      <c r="Q51" s="219">
        <f>IFERROR(Rendelés[[#This Row],[Szükséges anyagmennyiség]]+(Rendelés[[#This Row],[Össz raklapok száma]]*25),"")</f>
        <v>3875</v>
      </c>
      <c r="R51" s="305" cm="1">
        <f t="array" ref="R51">(H51*_xlfn.XLOOKUP(B51,Terméklista!$B$2:$B$103,Terméklista!F$2:$F$103,))/1000</f>
        <v>3675</v>
      </c>
      <c r="S51" s="220">
        <f>IFERROR(((H51/_xlfn.XLOOKUP(B51,Terméklista!$B$2:$B$103,Terméklista!$E$2:$E$103)*_xlfn.XLOOKUP(B51,Terméklista!$B$2:$B$103,Terméklista!$I$2:$I$103)))/3600," ")</f>
        <v>243.05555555555554</v>
      </c>
      <c r="T51" s="212" t="s">
        <v>678</v>
      </c>
    </row>
    <row r="52" spans="1:1189" s="212" customFormat="1" hidden="1">
      <c r="A52" t="s">
        <v>156</v>
      </c>
      <c r="B52" s="318" t="s">
        <v>41</v>
      </c>
      <c r="C52" s="203">
        <f>IFERROR(_xlfn.XLOOKUP(B52,Terméklista!$B$2:$B$103,Terméklista!$C$2:$C$103,)," ")</f>
        <v>0</v>
      </c>
      <c r="D52" s="7"/>
      <c r="E52"/>
      <c r="F52" s="203" t="str">
        <f>_xlfn.XLOOKUP(B52,Terméklista!B62:B163,Terméklista!G62:G163," ")</f>
        <v xml:space="preserve"> </v>
      </c>
      <c r="G52" s="205">
        <v>5783</v>
      </c>
      <c r="H52" s="150">
        <v>2000</v>
      </c>
      <c r="I52" s="8" t="d">
        <v>2025-06-24</v>
      </c>
      <c r="J52" s="8" t="d">
        <v>2025-06-25</v>
      </c>
      <c r="K52" s="8"/>
      <c r="L52" s="34" t="s">
        <v>53</v>
      </c>
      <c r="M52" s="34"/>
      <c r="N52" s="7" t="str">
        <f>IFERROR(_xlfn.XLOOKUP(B52,Terméklista!B62:B163,Terméklista!H62:H163)," ")</f>
        <v xml:space="preserve"> </v>
      </c>
      <c r="O52" s="147" t="str">
        <f>IFERROR(ROUNDUP(Rendelés[[#This Row],[Amount/pc]]/_xlfn.XLOOKUP(B52,Terméklista!$B$2:$B$103,Terméklista!$M$2:$M$103,),0)," ")</f>
        <v xml:space="preserve"> </v>
      </c>
      <c r="P52" t="str">
        <f>IFERROR(ROUNDUP(Rendelés[[#This Row],[Dobozok száma]]/_xlfn.XLOOKUP(B52,Terméklista!$B$2:$B$103,Terméklista!$N$2:$N$103,),0)," ")</f>
        <v xml:space="preserve"> </v>
      </c>
      <c r="Q52" s="142" t="str">
        <f>IFERROR(Rendelés[[#This Row],[Szükséges anyagmennyiség]]+(Rendelés[[#This Row],[Össz raklapok száma]]*25),"")</f>
        <v/>
      </c>
      <c r="R52" s="144" cm="1">
        <f t="array" ref="R52">(H52*_xlfn.XLOOKUP(B52,Terméklista!$B$2:$B$103,Terméklista!F$2:$F$103,))/1000</f>
        <v>44.68</v>
      </c>
      <c r="S52" s="153">
        <f>IFERROR(((H52/_xlfn.XLOOKUP(B52,Terméklista!$B$2:$B$103,Terméklista!$E$2:$E$103)*_xlfn.XLOOKUP(B52,Terméklista!$B$2:$B$103,Terméklista!$I$2:$I$103)))/3600," ")</f>
        <v>4.166666666666667</v>
      </c>
      <c r="T52" t="s">
        <v>561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</row>
    <row r="53" spans="1:1189" hidden="1">
      <c r="A53" t="s">
        <v>156</v>
      </c>
      <c r="B53" s="307" t="s">
        <v>116</v>
      </c>
      <c r="C53" s="203" t="str">
        <f>IFERROR(_xlfn.XLOOKUP(B53,Terméklista!$B$2:$B$103,Terméklista!$C$2:$C$103,)," ")</f>
        <v>nagykulcs - 3mm</v>
      </c>
      <c r="F53" s="203" t="str">
        <f>_xlfn.XLOOKUP(B53,Terméklista!B64:B165,Terméklista!G64:G165," ")</f>
        <v xml:space="preserve"> </v>
      </c>
      <c r="G53" s="205">
        <v>5813</v>
      </c>
      <c r="H53" s="150">
        <v>1000</v>
      </c>
      <c r="I53" s="8" t="d">
        <v>2025-07-10</v>
      </c>
      <c r="J53" s="8" t="d">
        <v>2025-07-17</v>
      </c>
      <c r="K53" s="8" t="d">
        <v>2025-07-15</v>
      </c>
      <c r="L53" s="34" t="s">
        <v>53</v>
      </c>
      <c r="N53" s="7" t="str">
        <f>IFERROR(_xlfn.XLOOKUP(B53,Terméklista!B64:B165,Terméklista!H64:H165)," ")</f>
        <v xml:space="preserve"> </v>
      </c>
      <c r="O53" s="147" t="str">
        <f>IFERROR(ROUNDUP(Rendelés[[#This Row],[Amount/pc]]/_xlfn.XLOOKUP(B53,Terméklista!$B$2:$B$103,Terméklista!$M$2:$M$103,),0)," ")</f>
        <v xml:space="preserve"> </v>
      </c>
      <c r="P53" t="str">
        <f>IFERROR(ROUNDUP(Rendelés[[#This Row],[Dobozok száma]]/_xlfn.XLOOKUP(B53,Terméklista!$B$2:$B$103,Terméklista!$N$2:$N$103,),0)," ")</f>
        <v xml:space="preserve"> </v>
      </c>
      <c r="Q53" s="142" t="str">
        <f>IFERROR(Rendelés[[#This Row],[Szükséges anyagmennyiség]]+(Rendelés[[#This Row],[Össz raklapok száma]]*25),"")</f>
        <v/>
      </c>
      <c r="R53" s="144" cm="1">
        <f t="array" ref="R53">(H53*_xlfn.XLOOKUP(B53,Terméklista!$B$2:$B$103,Terméklista!F$2:$F$103,))/1000</f>
        <v>47.550000000000004</v>
      </c>
      <c r="S53" s="153">
        <f>IFERROR(((H53/_xlfn.XLOOKUP(B53,Terméklista!$B$2:$B$103,Terméklista!$E$2:$E$103)*_xlfn.XLOOKUP(B53,Terméklista!$B$2:$B$103,Terméklista!$I$2:$I$103)))/3600," ")</f>
        <v>2.0833333333333335</v>
      </c>
      <c r="T53" t="s">
        <v>564</v>
      </c>
    </row>
    <row r="54" spans="1:1189" s="212" customFormat="1" hidden="1">
      <c r="A54" s="212" t="s">
        <v>182</v>
      </c>
      <c r="B54" s="318" t="s">
        <v>461</v>
      </c>
      <c r="C54" s="214" t="str">
        <f>IFERROR(_xlfn.XLOOKUP(B54,Terméklista!$B$2:$B$103,Terméklista!$C$2:$C$103,)," ")</f>
        <v xml:space="preserve">Smartstop-2 </v>
      </c>
      <c r="D54" s="214"/>
      <c r="F54" s="214" t="str">
        <f>_xlfn.XLOOKUP(B54,Terméklista!B65:B166,Terméklista!G65:G166," ")</f>
        <v xml:space="preserve"> Z410</v>
      </c>
      <c r="G54" s="215">
        <v>26935</v>
      </c>
      <c r="H54" s="216">
        <v>10000</v>
      </c>
      <c r="I54" s="217" t="d">
        <v>2025-07-17</v>
      </c>
      <c r="J54" s="217" t="d">
        <v>2025-08-19</v>
      </c>
      <c r="K54" s="217" t="d">
        <v>2025-08-13</v>
      </c>
      <c r="L54" s="213" t="s">
        <v>53</v>
      </c>
      <c r="M54" s="213" t="s">
        <v>472</v>
      </c>
      <c r="N54" s="214">
        <f>IFERROR(_xlfn.XLOOKUP(B54,Terméklista!B65:B166,Terméklista!H65:H166)," ")</f>
        <v>0</v>
      </c>
      <c r="O54" s="218">
        <f>IFERROR(ROUNDUP(Rendelés[[#This Row],[Amount/pc]]/_xlfn.XLOOKUP(B54,Terméklista!$B$2:$B$103,Terméklista!$M$2:$M$103,),0)," ")</f>
        <v>67</v>
      </c>
      <c r="P54" s="212">
        <f>IFERROR(ROUNDUP(Rendelés[[#This Row],[Dobozok száma]]/_xlfn.XLOOKUP(B54,Terméklista!$B$2:$B$103,Terméklista!$N$2:$N$103,),0)," ")</f>
        <v>1</v>
      </c>
      <c r="Q54" s="219">
        <f>IFERROR(Rendelés[[#This Row],[Szükséges anyagmennyiség]]+(Rendelés[[#This Row],[Össz raklapok száma]]*25),"")</f>
        <v>695</v>
      </c>
      <c r="R54" s="305" cm="1">
        <f t="array" ref="R54">(H54*_xlfn.XLOOKUP(B54,Terméklista!$B$2:$B$103,Terméklista!F$2:$F$103,))/1000</f>
        <v>670</v>
      </c>
      <c r="S54" s="220">
        <f>IFERROR(((H54/_xlfn.XLOOKUP(B54,Terméklista!$B$2:$B$103,Terméklista!$E$2:$E$103)*_xlfn.XLOOKUP(B54,Terméklista!$B$2:$B$103,Terméklista!$I$2:$I$103)))/3600," ")</f>
        <v>6.9444444444444446</v>
      </c>
      <c r="T54" s="212" t="s">
        <v>568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</row>
    <row r="55" spans="1:1189" s="212" customFormat="1" hidden="1">
      <c r="A55" s="212" t="s">
        <v>182</v>
      </c>
      <c r="B55" s="318" t="s">
        <v>465</v>
      </c>
      <c r="C55" s="214" t="str">
        <f>IFERROR(_xlfn.XLOOKUP(B55,Terméklista!$B$2:$B$103,Terméklista!$C$2:$C$103,)," ")</f>
        <v>Verdrehsicherung</v>
      </c>
      <c r="D55" s="214" t="s">
        <v>566</v>
      </c>
      <c r="F55" s="214" t="str">
        <f>_xlfn.XLOOKUP(B55,Terméklista!B66:B167,Terméklista!G66:G167," ")</f>
        <v xml:space="preserve"> Z410</v>
      </c>
      <c r="G55" s="215">
        <v>26978</v>
      </c>
      <c r="H55" s="216">
        <v>5000</v>
      </c>
      <c r="I55" s="217" t="d">
        <v>2025-07-28</v>
      </c>
      <c r="J55" s="217" t="d">
        <v>2025-08-20</v>
      </c>
      <c r="K55" s="217" t="d">
        <v>2025-08-26</v>
      </c>
      <c r="L55" s="213" t="s">
        <v>53</v>
      </c>
      <c r="M55" s="213" t="s">
        <v>472</v>
      </c>
      <c r="N55" s="214" t="str">
        <f>IFERROR(_xlfn.XLOOKUP(B55,Terméklista!B66:B167,Terméklista!H66:H167)," ")</f>
        <v>Galvanizálás</v>
      </c>
      <c r="O55" s="218">
        <f>IFERROR(ROUNDUP(Rendelés[[#This Row],[Amount/pc]]/_xlfn.XLOOKUP(B55,Terméklista!$B$2:$B$103,Terméklista!$M$2:$M$103,),0)," ")</f>
        <v>25</v>
      </c>
      <c r="P55" s="212">
        <f>IFERROR(ROUNDUP(Rendelés[[#This Row],[Dobozok száma]]/_xlfn.XLOOKUP(B55,Terméklista!$B$2:$B$103,Terméklista!$N$2:$N$103,),0)," ")</f>
        <v>1</v>
      </c>
      <c r="Q55" s="219">
        <f>IFERROR(Rendelés[[#This Row],[Szükséges anyagmennyiség]]+(Rendelés[[#This Row],[Össz raklapok száma]]*25),"")</f>
        <v>355</v>
      </c>
      <c r="R55" s="305" cm="1">
        <f t="array" ref="R55">(H55*_xlfn.XLOOKUP(B55,Terméklista!$B$2:$B$103,Terméklista!F$2:$F$103,))/1000</f>
        <v>330</v>
      </c>
      <c r="S55" s="220">
        <f>IFERROR(((H55/_xlfn.XLOOKUP(B55,Terméklista!$B$2:$B$103,Terméklista!$E$2:$E$103)*_xlfn.XLOOKUP(B55,Terméklista!$B$2:$B$103,Terméklista!$I$2:$I$103)))/3600," ")</f>
        <v>10.416666666666666</v>
      </c>
      <c r="T55" s="212" t="s">
        <v>569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  <c r="AQZ55"/>
      <c r="ARA55"/>
      <c r="ARB55"/>
      <c r="ARC55"/>
      <c r="ARD55"/>
      <c r="ARE55"/>
      <c r="ARF55"/>
      <c r="ARG55"/>
      <c r="ARH55"/>
      <c r="ARI55"/>
      <c r="ARJ55"/>
      <c r="ARK55"/>
      <c r="ARL55"/>
      <c r="ARM55"/>
      <c r="ARN55"/>
      <c r="ARO55"/>
      <c r="ARP55"/>
      <c r="ARQ55"/>
      <c r="ARR55"/>
      <c r="ARS55"/>
      <c r="ART55"/>
      <c r="ARU55"/>
      <c r="ARV55"/>
      <c r="ARW55"/>
      <c r="ARX55"/>
      <c r="ARY55"/>
      <c r="ARZ55"/>
      <c r="ASA55"/>
      <c r="ASB55"/>
      <c r="ASC55"/>
      <c r="ASD55"/>
      <c r="ASE55"/>
      <c r="ASF55"/>
      <c r="ASG55"/>
      <c r="ASH55"/>
      <c r="ASI55"/>
      <c r="ASJ55"/>
      <c r="ASK55"/>
      <c r="ASL55"/>
      <c r="ASM55"/>
      <c r="ASN55"/>
      <c r="ASO55"/>
      <c r="ASP55"/>
      <c r="ASQ55"/>
      <c r="ASR55"/>
      <c r="ASS55"/>
    </row>
    <row r="56" spans="1:1189" hidden="1">
      <c r="A56" s="212" t="s">
        <v>182</v>
      </c>
      <c r="B56" s="368" t="s">
        <v>464</v>
      </c>
      <c r="C56" s="214" t="str">
        <f>IFERROR(_xlfn.XLOOKUP(B56,Terméklista!$B$2:$B$103,Terméklista!$C$2:$C$103,)," ")</f>
        <v>Verdrehsicherung</v>
      </c>
      <c r="D56" s="214" t="s">
        <v>566</v>
      </c>
      <c r="E56" s="212"/>
      <c r="F56" s="214" t="str">
        <f>_xlfn.XLOOKUP(B56,Terméklista!B67:B168,Terméklista!G67:G168," ")</f>
        <v xml:space="preserve"> Z410</v>
      </c>
      <c r="G56" s="215">
        <v>26978</v>
      </c>
      <c r="H56" s="216">
        <v>5000</v>
      </c>
      <c r="I56" s="217" t="d">
        <v>2025-07-28</v>
      </c>
      <c r="J56" s="217" t="d">
        <v>2025-08-20</v>
      </c>
      <c r="K56" s="217" t="d">
        <v>2025-08-26</v>
      </c>
      <c r="L56" s="213" t="s">
        <v>53</v>
      </c>
      <c r="M56" s="213" t="s">
        <v>472</v>
      </c>
      <c r="N56" s="214" t="str">
        <f>IFERROR(_xlfn.XLOOKUP(B56,Terméklista!B67:B168,Terméklista!H67:H168)," ")</f>
        <v>Galvanizálás</v>
      </c>
      <c r="O56" s="218">
        <f>IFERROR(ROUNDUP(Rendelés[[#This Row],[Amount/pc]]/_xlfn.XLOOKUP(B56,Terméklista!$B$2:$B$103,Terméklista!$M$2:$M$103,),0)," ")</f>
        <v>25</v>
      </c>
      <c r="P56" s="212">
        <f>IFERROR(ROUNDUP(Rendelés[[#This Row],[Dobozok száma]]/_xlfn.XLOOKUP(B56,Terméklista!$B$2:$B$103,Terméklista!$N$2:$N$103,),0)," ")</f>
        <v>1</v>
      </c>
      <c r="Q56" s="219">
        <f>IFERROR(Rendelés[[#This Row],[Szükséges anyagmennyiség]]+(Rendelés[[#This Row],[Össz raklapok száma]]*25),"")</f>
        <v>295.5</v>
      </c>
      <c r="R56" s="305" cm="1">
        <f t="array" ref="R56">(H56*_xlfn.XLOOKUP(B56,Terméklista!$B$2:$B$103,Terméklista!F$2:$F$103,))/1000</f>
        <v>270.5</v>
      </c>
      <c r="S56" s="220">
        <f>IFERROR(((H56/_xlfn.XLOOKUP(B56,Terméklista!$B$2:$B$103,Terméklista!$E$2:$E$103)*_xlfn.XLOOKUP(B56,Terméklista!$B$2:$B$103,Terméklista!$I$2:$I$103)))/3600," ")</f>
        <v>10.416666666666666</v>
      </c>
      <c r="T56" s="212" t="s">
        <v>569</v>
      </c>
    </row>
    <row r="57" spans="1:1189" hidden="1">
      <c r="A57" s="212" t="s">
        <v>156</v>
      </c>
      <c r="B57" s="368" t="s">
        <v>41</v>
      </c>
      <c r="C57" s="214">
        <f>IFERROR(_xlfn.XLOOKUP(B57,Terméklista!$B$2:$B$103,Terméklista!$C$2:$C$103,)," ")</f>
        <v>0</v>
      </c>
      <c r="D57" s="214"/>
      <c r="E57" s="212"/>
      <c r="F57" s="214" t="str">
        <f>_xlfn.XLOOKUP(B57,Terméklista!B68:B169,Terméklista!G68:G169," ")</f>
        <v xml:space="preserve"> </v>
      </c>
      <c r="G57" s="215">
        <v>5847</v>
      </c>
      <c r="H57" s="216">
        <v>1300</v>
      </c>
      <c r="I57" s="217" t="d">
        <v>2025-08-13</v>
      </c>
      <c r="J57" s="217" t="d">
        <v>2025-08-18</v>
      </c>
      <c r="K57" s="217" t="d">
        <v>2025-08-18</v>
      </c>
      <c r="L57" s="213" t="s">
        <v>53</v>
      </c>
      <c r="M57" s="213" t="s">
        <v>472</v>
      </c>
      <c r="N57" s="214" t="str">
        <f>IFERROR(_xlfn.XLOOKUP(B57,Terméklista!B68:B169,Terméklista!H68:H169)," ")</f>
        <v xml:space="preserve"> </v>
      </c>
      <c r="O57" s="218" t="str">
        <f>IFERROR(ROUNDUP(Rendelés[[#This Row],[Amount/pc]]/_xlfn.XLOOKUP(B57,Terméklista!$B$2:$B$103,Terméklista!$M$2:$M$103,),0)," ")</f>
        <v xml:space="preserve"> </v>
      </c>
      <c r="P57" s="212" t="str">
        <f>IFERROR(ROUNDUP(Rendelés[[#This Row],[Dobozok száma]]/_xlfn.XLOOKUP(B57,Terméklista!$B$2:$B$103,Terméklista!$N$2:$N$103,),0)," ")</f>
        <v xml:space="preserve"> </v>
      </c>
      <c r="Q57" s="219" t="str">
        <f>IFERROR(Rendelés[[#This Row],[Szükséges anyagmennyiség]]+(Rendelés[[#This Row],[Össz raklapok száma]]*25),"")</f>
        <v/>
      </c>
      <c r="R57" s="305" cm="1">
        <f t="array" ref="R57">(H57*_xlfn.XLOOKUP(B57,Terméklista!$B$2:$B$103,Terméklista!F$2:$F$103,))/1000</f>
        <v>29.042000000000002</v>
      </c>
      <c r="S57" s="220">
        <f>IFERROR(((H57/_xlfn.XLOOKUP(B57,Terméklista!$B$2:$B$103,Terméklista!$E$2:$E$103)*_xlfn.XLOOKUP(B57,Terméklista!$B$2:$B$103,Terméklista!$I$2:$I$103)))/3600," ")</f>
        <v>2.7083333333333335</v>
      </c>
      <c r="T57" s="212"/>
    </row>
    <row r="58" spans="1:1189" hidden="1">
      <c r="A58" s="212" t="s">
        <v>156</v>
      </c>
      <c r="B58" s="368" t="s">
        <v>116</v>
      </c>
      <c r="C58" s="214" t="str">
        <f>IFERROR(_xlfn.XLOOKUP(B58,Terméklista!$B$2:$B$103,Terméklista!$C$2:$C$103,)," ")</f>
        <v>nagykulcs - 3mm</v>
      </c>
      <c r="D58" s="214"/>
      <c r="E58" s="212"/>
      <c r="F58" s="214" t="str">
        <f>_xlfn.XLOOKUP(B58,Terméklista!B69:B170,Terméklista!G69:G170," ")</f>
        <v xml:space="preserve"> </v>
      </c>
      <c r="G58" s="215">
        <v>5854</v>
      </c>
      <c r="H58" s="216">
        <v>1000</v>
      </c>
      <c r="I58" s="217" t="d">
        <v>2025-08-15</v>
      </c>
      <c r="J58" s="217" t="d">
        <v>2025-09-15</v>
      </c>
      <c r="K58" s="217"/>
      <c r="L58" s="213" t="s">
        <v>53</v>
      </c>
      <c r="M58" s="213" t="s">
        <v>472</v>
      </c>
      <c r="N58" s="214" t="str">
        <f>IFERROR(_xlfn.XLOOKUP(B58,Terméklista!B69:B170,Terméklista!H69:H170)," ")</f>
        <v xml:space="preserve"> </v>
      </c>
      <c r="O58" s="218" t="str">
        <f>IFERROR(ROUNDUP(Rendelés[[#This Row],[Amount/pc]]/_xlfn.XLOOKUP(B58,Terméklista!$B$2:$B$103,Terméklista!$M$2:$M$103,),0)," ")</f>
        <v xml:space="preserve"> </v>
      </c>
      <c r="P58" s="212" t="str">
        <f>IFERROR(ROUNDUP(Rendelés[[#This Row],[Dobozok száma]]/_xlfn.XLOOKUP(B58,Terméklista!$B$2:$B$103,Terméklista!$N$2:$N$103,),0)," ")</f>
        <v xml:space="preserve"> </v>
      </c>
      <c r="Q58" s="219" t="str">
        <f>IFERROR(Rendelés[[#This Row],[Szükséges anyagmennyiség]]+(Rendelés[[#This Row],[Össz raklapok száma]]*25),"")</f>
        <v/>
      </c>
      <c r="R58" s="305" cm="1">
        <f t="array" ref="R58">(H58*_xlfn.XLOOKUP(B58,Terméklista!$B$2:$B$103,Terméklista!F$2:$F$103,))/1000</f>
        <v>47.550000000000004</v>
      </c>
      <c r="S58" s="220">
        <f>IFERROR(((H58/_xlfn.XLOOKUP(B58,Terméklista!$B$2:$B$103,Terméklista!$E$2:$E$103)*_xlfn.XLOOKUP(B58,Terméklista!$B$2:$B$103,Terméklista!$I$2:$I$103)))/3600," ")</f>
        <v>2.0833333333333335</v>
      </c>
      <c r="T58" s="212" t="s">
        <v>580</v>
      </c>
    </row>
    <row r="59" spans="1:1189" hidden="1">
      <c r="A59" s="212" t="s">
        <v>182</v>
      </c>
      <c r="B59" s="368" t="s">
        <v>460</v>
      </c>
      <c r="C59" s="214" t="str">
        <f>IFERROR(_xlfn.XLOOKUP(B59,Terméklista!$B$2:$B$103,Terméklista!$C$2:$C$103,)," ")</f>
        <v xml:space="preserve">Smartstop-2 </v>
      </c>
      <c r="D59" s="214"/>
      <c r="E59" s="212"/>
      <c r="F59" s="214" t="str">
        <f>_xlfn.XLOOKUP(B59,Terméklista!B72:B173,Terméklista!G72:G173," ")</f>
        <v xml:space="preserve"> Z410</v>
      </c>
      <c r="G59" s="215">
        <v>27048</v>
      </c>
      <c r="H59" s="216">
        <v>10000</v>
      </c>
      <c r="I59" s="217" t="d">
        <v>2025-08-25</v>
      </c>
      <c r="J59" s="217" t="d">
        <v>2025-09-24</v>
      </c>
      <c r="K59" s="217" t="d">
        <v>2025-09-18</v>
      </c>
      <c r="L59" s="213" t="s">
        <v>53</v>
      </c>
      <c r="M59" s="213" t="s">
        <v>472</v>
      </c>
      <c r="N59" s="214">
        <f>IFERROR(_xlfn.XLOOKUP(B59,Terméklista!B72:B173,Terméklista!H72:H173)," ")</f>
        <v>0</v>
      </c>
      <c r="O59" s="218">
        <f>IFERROR(ROUNDUP(Rendelés[[#This Row],[Amount/pc]]/_xlfn.XLOOKUP(B59,Terméklista!$B$2:$B$103,Terméklista!$M$2:$M$103,),0)," ")</f>
        <v>16</v>
      </c>
      <c r="P59" s="212">
        <f>IFERROR(ROUNDUP(Rendelés[[#This Row],[Dobozok száma]]/_xlfn.XLOOKUP(B59,Terméklista!$B$2:$B$103,Terméklista!$N$2:$N$103,),0)," ")</f>
        <v>1</v>
      </c>
      <c r="Q59" s="219">
        <f>IFERROR(Rendelés[[#This Row],[Szükséges anyagmennyiség]]+(Rendelés[[#This Row],[Össz raklapok száma]]*25),"")</f>
        <v>175.3</v>
      </c>
      <c r="R59" s="305" cm="1">
        <f t="array" ref="R59">(H59*_xlfn.XLOOKUP(B59,Terméklista!$B$2:$B$103,Terméklista!F$2:$F$103,))/1000</f>
        <v>150.30000000000001</v>
      </c>
      <c r="S59" s="220">
        <f>IFERROR(((H59/_xlfn.XLOOKUP(B59,Terméklista!$B$2:$B$103,Terméklista!$E$2:$E$103)*_xlfn.XLOOKUP(B59,Terméklista!$B$2:$B$103,Terméklista!$I$2:$I$103)))/3600," ")</f>
        <v>6.9444444444444446</v>
      </c>
      <c r="T59" s="212" t="s">
        <v>581</v>
      </c>
    </row>
    <row r="60" spans="1:1189" s="212" customFormat="1" hidden="1">
      <c r="A60" s="212" t="s">
        <v>180</v>
      </c>
      <c r="B60" s="368" t="s">
        <v>17</v>
      </c>
      <c r="C60" s="214" t="str">
        <f>IFERROR(_xlfn.XLOOKUP(B60,Terméklista!$B$2:$B$103,Terméklista!$C$2:$C$103,)," ")</f>
        <v>Zamak Gewicht</v>
      </c>
      <c r="D60" s="214" t="s">
        <v>501</v>
      </c>
      <c r="F60" s="214" t="str">
        <f>_xlfn.XLOOKUP(B60,Terméklista!B70:B171,Terméklista!G70:G171," ")</f>
        <v xml:space="preserve"> Z410</v>
      </c>
      <c r="G60" s="215">
        <v>4500102857</v>
      </c>
      <c r="H60" s="216">
        <v>50000</v>
      </c>
      <c r="I60" s="217" t="d">
        <v>2025-08-26</v>
      </c>
      <c r="J60" s="217" t="d">
        <v>2026-01-05</v>
      </c>
      <c r="K60" s="217"/>
      <c r="L60" s="213" t="s">
        <v>53</v>
      </c>
      <c r="M60" s="213" t="s">
        <v>472</v>
      </c>
      <c r="N60" s="214">
        <f>IFERROR(_xlfn.XLOOKUP(B60,Terméklista!B70:B171,Terméklista!H70:H171)," ")</f>
        <v>0</v>
      </c>
      <c r="O60" s="218">
        <f>IFERROR(ROUNDUP(Rendelés[[#This Row],[Amount/pc]]/_xlfn.XLOOKUP(B60,Terméklista!$B$2:$B$103,Terméklista!$M$2:$M$103,),0)," ")</f>
        <v>143</v>
      </c>
      <c r="P60" s="212">
        <f>IFERROR(ROUNDUP(Rendelés[[#This Row],[Dobozok száma]]/_xlfn.XLOOKUP(B60,Terméklista!$B$2:$B$103,Terméklista!$N$2:$N$103,),0)," ")</f>
        <v>2</v>
      </c>
      <c r="Q60" s="219">
        <f>IFERROR(Rendelés[[#This Row],[Szükséges anyagmennyiség]]+(Rendelés[[#This Row],[Össz raklapok száma]]*25),"")</f>
        <v>900</v>
      </c>
      <c r="R60" s="305" cm="1">
        <f t="array" ref="R60">(H60*_xlfn.XLOOKUP(B60,Terméklista!$B$2:$B$103,Terméklista!F$2:$F$103,))/1000</f>
        <v>850</v>
      </c>
      <c r="S60" s="220">
        <f>IFERROR(((H60/_xlfn.XLOOKUP(B60,Terméklista!$B$2:$B$103,Terméklista!$E$2:$E$103)*_xlfn.XLOOKUP(B60,Terméklista!$B$2:$B$103,Terméklista!$I$2:$I$103)))/3600," ")</f>
        <v>34.722222222222221</v>
      </c>
      <c r="T60" s="212" t="s">
        <v>689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  <c r="AMK60"/>
      <c r="AML60"/>
      <c r="AMM60"/>
      <c r="AMN60"/>
      <c r="AMO60"/>
      <c r="AMP60"/>
      <c r="AMQ60"/>
      <c r="AMR60"/>
      <c r="AMS60"/>
      <c r="AMT60"/>
      <c r="AMU60"/>
      <c r="AMV60"/>
      <c r="AMW60"/>
      <c r="AMX60"/>
      <c r="AMY60"/>
      <c r="AMZ60"/>
      <c r="ANA60"/>
      <c r="ANB60"/>
      <c r="ANC60"/>
      <c r="AND60"/>
      <c r="ANE60"/>
      <c r="ANF60"/>
      <c r="ANG60"/>
      <c r="ANH60"/>
      <c r="ANI60"/>
      <c r="ANJ60"/>
      <c r="ANK60"/>
      <c r="ANL60"/>
      <c r="ANM60"/>
      <c r="ANN60"/>
      <c r="ANO60"/>
      <c r="ANP60"/>
      <c r="ANQ60"/>
      <c r="ANR60"/>
      <c r="ANS60"/>
      <c r="ANT60"/>
      <c r="ANU60"/>
      <c r="ANV60"/>
      <c r="ANW60"/>
      <c r="ANX60"/>
      <c r="ANY60"/>
      <c r="ANZ60"/>
      <c r="AOA60"/>
      <c r="AOB60"/>
      <c r="AOC60"/>
      <c r="AOD60"/>
      <c r="AOE60"/>
      <c r="AOF60"/>
      <c r="AOG60"/>
      <c r="AOH60"/>
      <c r="AOI60"/>
      <c r="AOJ60"/>
      <c r="AOK60"/>
      <c r="AOL60"/>
      <c r="AOM60"/>
      <c r="AON60"/>
      <c r="AOO60"/>
      <c r="AOP60"/>
      <c r="AOQ60"/>
      <c r="AOR60"/>
      <c r="AOS60"/>
      <c r="AOT60"/>
      <c r="AOU60"/>
      <c r="AOV60"/>
      <c r="AOW60"/>
      <c r="AOX60"/>
      <c r="AOY60"/>
      <c r="AOZ60"/>
      <c r="APA60"/>
      <c r="APB60"/>
      <c r="APC60"/>
      <c r="APD60"/>
      <c r="APE60"/>
      <c r="APF60"/>
      <c r="APG60"/>
      <c r="APH60"/>
      <c r="API60"/>
      <c r="APJ60"/>
      <c r="APK60"/>
      <c r="APL60"/>
      <c r="APM60"/>
      <c r="APN60"/>
      <c r="APO60"/>
      <c r="APP60"/>
      <c r="APQ60"/>
      <c r="APR60"/>
      <c r="APS60"/>
      <c r="APT60"/>
      <c r="APU60"/>
      <c r="APV60"/>
      <c r="APW60"/>
      <c r="APX60"/>
      <c r="APY60"/>
      <c r="APZ60"/>
      <c r="AQA60"/>
      <c r="AQB60"/>
      <c r="AQC60"/>
      <c r="AQD60"/>
      <c r="AQE60"/>
      <c r="AQF60"/>
      <c r="AQG60"/>
      <c r="AQH60"/>
      <c r="AQI60"/>
      <c r="AQJ60"/>
      <c r="AQK60"/>
      <c r="AQL60"/>
      <c r="AQM60"/>
      <c r="AQN60"/>
      <c r="AQO60"/>
      <c r="AQP60"/>
      <c r="AQQ60"/>
      <c r="AQR60"/>
      <c r="AQS60"/>
      <c r="AQT60"/>
      <c r="AQU60"/>
      <c r="AQV60"/>
      <c r="AQW60"/>
      <c r="AQX60"/>
      <c r="AQY60"/>
      <c r="AQZ60"/>
      <c r="ARA60"/>
      <c r="ARB60"/>
      <c r="ARC60"/>
      <c r="ARD60"/>
      <c r="ARE60"/>
      <c r="ARF60"/>
      <c r="ARG60"/>
      <c r="ARH60"/>
      <c r="ARI60"/>
      <c r="ARJ60"/>
      <c r="ARK60"/>
      <c r="ARL60"/>
      <c r="ARM60"/>
      <c r="ARN60"/>
      <c r="ARO60"/>
      <c r="ARP60"/>
      <c r="ARQ60"/>
      <c r="ARR60"/>
      <c r="ARS60"/>
      <c r="ART60"/>
      <c r="ARU60"/>
      <c r="ARV60"/>
      <c r="ARW60"/>
      <c r="ARX60"/>
      <c r="ARY60"/>
      <c r="ARZ60"/>
      <c r="ASA60"/>
      <c r="ASB60"/>
      <c r="ASC60"/>
      <c r="ASD60"/>
      <c r="ASE60"/>
      <c r="ASF60"/>
      <c r="ASG60"/>
      <c r="ASH60"/>
      <c r="ASI60"/>
      <c r="ASJ60"/>
      <c r="ASK60"/>
      <c r="ASL60"/>
      <c r="ASM60"/>
      <c r="ASN60"/>
      <c r="ASO60"/>
      <c r="ASP60"/>
      <c r="ASQ60"/>
      <c r="ASR60"/>
      <c r="ASS60"/>
    </row>
    <row r="61" spans="1:1189" s="212" customFormat="1" hidden="1">
      <c r="A61" s="212" t="s">
        <v>180</v>
      </c>
      <c r="B61" s="368" t="s">
        <v>17</v>
      </c>
      <c r="C61" s="214" t="str">
        <f>IFERROR(_xlfn.XLOOKUP(B61,Terméklista!$B$2:$B$103,Terméklista!$C$2:$C$103,)," ")</f>
        <v>Zamak Gewicht</v>
      </c>
      <c r="D61" s="214"/>
      <c r="F61" s="214" t="str">
        <f>_xlfn.XLOOKUP(B61,Terméklista!B71:B172,Terméklista!G71:G172," ")</f>
        <v xml:space="preserve"> Z410</v>
      </c>
      <c r="G61" s="215">
        <v>4500102961</v>
      </c>
      <c r="H61" s="216">
        <v>50000</v>
      </c>
      <c r="I61" s="217" t="d">
        <v>2025-09-01</v>
      </c>
      <c r="J61" s="217" t="d">
        <v>2025-11-10</v>
      </c>
      <c r="K61" s="217"/>
      <c r="L61" s="213" t="s">
        <v>53</v>
      </c>
      <c r="M61" s="213" t="s">
        <v>472</v>
      </c>
      <c r="N61" s="214">
        <f>IFERROR(_xlfn.XLOOKUP(B61,Terméklista!B71:B172,Terméklista!H71:H172)," ")</f>
        <v>0</v>
      </c>
      <c r="O61" s="218">
        <f>IFERROR(ROUNDUP(Rendelés[[#This Row],[Amount/pc]]/_xlfn.XLOOKUP(B61,Terméklista!$B$2:$B$103,Terméklista!$M$2:$M$103,),0)," ")</f>
        <v>143</v>
      </c>
      <c r="P61" s="212">
        <f>IFERROR(ROUNDUP(Rendelés[[#This Row],[Dobozok száma]]/_xlfn.XLOOKUP(B61,Terméklista!$B$2:$B$103,Terméklista!$N$2:$N$103,),0)," ")</f>
        <v>2</v>
      </c>
      <c r="Q61" s="219">
        <f>IFERROR(Rendelés[[#This Row],[Szükséges anyagmennyiség]]+(Rendelés[[#This Row],[Össz raklapok száma]]*25),"")</f>
        <v>900</v>
      </c>
      <c r="R61" s="305" cm="1">
        <f t="array" ref="R61">(H61*_xlfn.XLOOKUP(B61,Terméklista!$B$2:$B$103,Terméklista!F$2:$F$103,))/1000</f>
        <v>850</v>
      </c>
      <c r="S61" s="220">
        <f>IFERROR(((H61/_xlfn.XLOOKUP(B61,Terméklista!$B$2:$B$103,Terméklista!$E$2:$E$103)*_xlfn.XLOOKUP(B61,Terméklista!$B$2:$B$103,Terméklista!$I$2:$I$103)))/3600," ")</f>
        <v>34.722222222222221</v>
      </c>
      <c r="T61" s="212" t="s">
        <v>679</v>
      </c>
    </row>
    <row r="62" spans="1:1189" s="212" customFormat="1" hidden="1">
      <c r="A62" s="212" t="s">
        <v>156</v>
      </c>
      <c r="B62" s="318" t="s">
        <v>103</v>
      </c>
      <c r="C62" s="214" t="str">
        <f>IFERROR(_xlfn.XLOOKUP(B62,Terméklista!$B$2:$B$103,Terméklista!$C$2:$C$103,)," ")</f>
        <v>lakattal zárható zárház</v>
      </c>
      <c r="D62" s="214"/>
      <c r="F62" s="214" t="str">
        <f>_xlfn.XLOOKUP(B62,Terméklista!B73:B174,Terméklista!G73:G174," ")</f>
        <v xml:space="preserve"> </v>
      </c>
      <c r="G62" s="215">
        <v>5877</v>
      </c>
      <c r="H62" s="216">
        <v>250</v>
      </c>
      <c r="I62" s="217" t="d">
        <v>2025-09-03</v>
      </c>
      <c r="J62" s="217" t="d">
        <v>2025-09-15</v>
      </c>
      <c r="K62" s="217"/>
      <c r="L62" s="213" t="s">
        <v>53</v>
      </c>
      <c r="M62" s="213" t="s">
        <v>472</v>
      </c>
      <c r="N62" s="214" t="str">
        <f>IFERROR(_xlfn.XLOOKUP(B62,Terméklista!B73:B174,Terméklista!H73:H174)," ")</f>
        <v xml:space="preserve"> </v>
      </c>
      <c r="O62" s="218" t="str">
        <f>IFERROR(ROUNDUP(Rendelés[[#This Row],[Amount/pc]]/_xlfn.XLOOKUP(B62,Terméklista!$B$2:$B$103,Terméklista!$M$2:$M$103,),0)," ")</f>
        <v xml:space="preserve"> </v>
      </c>
      <c r="P62" s="212" t="str">
        <f>IFERROR(ROUNDUP(Rendelés[[#This Row],[Dobozok száma]]/_xlfn.XLOOKUP(B62,Terméklista!$B$2:$B$103,Terméklista!$N$2:$N$103,),0)," ")</f>
        <v xml:space="preserve"> </v>
      </c>
      <c r="Q62" s="219" t="str">
        <f>IFERROR(Rendelés[[#This Row],[Szükséges anyagmennyiség]]+(Rendelés[[#This Row],[Össz raklapok száma]]*25),"")</f>
        <v/>
      </c>
      <c r="R62" s="305" cm="1">
        <f t="array" ref="R62">(H62*_xlfn.XLOOKUP(B62,Terméklista!$B$2:$B$103,Terméklista!F$2:$F$103,))/1000</f>
        <v>23.14</v>
      </c>
      <c r="S62" s="220">
        <f>IFERROR(((H62/_xlfn.XLOOKUP(B62,Terméklista!$B$2:$B$103,Terméklista!$E$2:$E$103)*_xlfn.XLOOKUP(B62,Terméklista!$B$2:$B$103,Terméklista!$I$2:$I$103)))/3600," ")</f>
        <v>0.52083333333333337</v>
      </c>
      <c r="T62" s="212" t="s">
        <v>580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/>
      <c r="AND62"/>
      <c r="ANE62"/>
      <c r="ANF62"/>
      <c r="ANG62"/>
      <c r="ANH62"/>
      <c r="ANI62"/>
      <c r="ANJ62"/>
      <c r="ANK62"/>
      <c r="ANL62"/>
      <c r="ANM62"/>
      <c r="ANN62"/>
      <c r="ANO62"/>
      <c r="ANP62"/>
      <c r="ANQ62"/>
      <c r="ANR62"/>
      <c r="ANS62"/>
      <c r="ANT62"/>
      <c r="ANU62"/>
      <c r="ANV62"/>
      <c r="ANW62"/>
      <c r="ANX62"/>
      <c r="ANY62"/>
      <c r="ANZ62"/>
      <c r="AOA62"/>
      <c r="AOB62"/>
      <c r="AOC62"/>
      <c r="AOD62"/>
      <c r="AOE62"/>
      <c r="AOF62"/>
      <c r="AOG62"/>
      <c r="AOH62"/>
      <c r="AOI62"/>
      <c r="AOJ62"/>
      <c r="AOK62"/>
      <c r="AOL62"/>
      <c r="AOM62"/>
      <c r="AON62"/>
      <c r="AOO62"/>
      <c r="AOP62"/>
      <c r="AOQ62"/>
      <c r="AOR62"/>
      <c r="AOS62"/>
      <c r="AOT62"/>
      <c r="AOU62"/>
      <c r="AOV62"/>
      <c r="AOW62"/>
      <c r="AOX62"/>
      <c r="AOY62"/>
      <c r="AOZ62"/>
      <c r="APA62"/>
      <c r="APB62"/>
      <c r="APC62"/>
      <c r="APD62"/>
      <c r="APE62"/>
      <c r="APF62"/>
      <c r="APG62"/>
      <c r="APH62"/>
      <c r="API62"/>
      <c r="APJ62"/>
      <c r="APK62"/>
      <c r="APL62"/>
      <c r="APM62"/>
      <c r="APN62"/>
      <c r="APO62"/>
      <c r="APP62"/>
      <c r="APQ62"/>
      <c r="APR62"/>
      <c r="APS62"/>
      <c r="APT62"/>
      <c r="APU62"/>
      <c r="APV62"/>
      <c r="APW62"/>
      <c r="APX62"/>
      <c r="APY62"/>
      <c r="APZ62"/>
      <c r="AQA62"/>
      <c r="AQB62"/>
      <c r="AQC62"/>
      <c r="AQD62"/>
      <c r="AQE62"/>
      <c r="AQF62"/>
      <c r="AQG62"/>
      <c r="AQH62"/>
      <c r="AQI62"/>
      <c r="AQJ62"/>
      <c r="AQK62"/>
      <c r="AQL62"/>
      <c r="AQM62"/>
      <c r="AQN62"/>
      <c r="AQO62"/>
      <c r="AQP62"/>
      <c r="AQQ62"/>
      <c r="AQR62"/>
      <c r="AQS62"/>
      <c r="AQT62"/>
      <c r="AQU62"/>
      <c r="AQV62"/>
      <c r="AQW62"/>
      <c r="AQX62"/>
      <c r="AQY62"/>
      <c r="AQZ62"/>
      <c r="ARA62"/>
      <c r="ARB62"/>
      <c r="ARC62"/>
      <c r="ARD62"/>
      <c r="ARE62"/>
      <c r="ARF62"/>
      <c r="ARG62"/>
      <c r="ARH62"/>
      <c r="ARI62"/>
      <c r="ARJ62"/>
      <c r="ARK62"/>
      <c r="ARL62"/>
      <c r="ARM62"/>
      <c r="ARN62"/>
      <c r="ARO62"/>
      <c r="ARP62"/>
      <c r="ARQ62"/>
      <c r="ARR62"/>
      <c r="ARS62"/>
      <c r="ART62"/>
      <c r="ARU62"/>
      <c r="ARV62"/>
      <c r="ARW62"/>
      <c r="ARX62"/>
      <c r="ARY62"/>
      <c r="ARZ62"/>
      <c r="ASA62"/>
      <c r="ASB62"/>
      <c r="ASC62"/>
      <c r="ASD62"/>
      <c r="ASE62"/>
      <c r="ASF62"/>
      <c r="ASG62"/>
      <c r="ASH62"/>
      <c r="ASI62"/>
      <c r="ASJ62"/>
      <c r="ASK62"/>
      <c r="ASL62"/>
      <c r="ASM62"/>
      <c r="ASN62"/>
      <c r="ASO62"/>
      <c r="ASP62"/>
      <c r="ASQ62"/>
      <c r="ASR62"/>
      <c r="ASS62"/>
    </row>
    <row r="63" spans="1:1189" hidden="1">
      <c r="A63" s="212" t="s">
        <v>180</v>
      </c>
      <c r="B63" s="368" t="s">
        <v>43</v>
      </c>
      <c r="C63" s="214" t="str">
        <f>IFERROR(_xlfn.XLOOKUP(B63,Terméklista!$B$2:$B$103,Terméklista!$C$2:$C$103,)," ")</f>
        <v>Zamak Gewicht</v>
      </c>
      <c r="D63" s="214" t="s">
        <v>501</v>
      </c>
      <c r="E63" s="212"/>
      <c r="F63" s="214" t="str">
        <f>_xlfn.XLOOKUP(B63,Terméklista!B74:B175,Terméklista!G74:G175," ")</f>
        <v xml:space="preserve"> Z410</v>
      </c>
      <c r="G63" s="215">
        <v>4500103024</v>
      </c>
      <c r="H63" s="216">
        <v>25000</v>
      </c>
      <c r="I63" s="217" t="d">
        <v>2025-09-05</v>
      </c>
      <c r="J63" s="217" t="d">
        <v>2025-10-09</v>
      </c>
      <c r="K63" s="217" t="d">
        <v>2025-10-02</v>
      </c>
      <c r="L63" s="213" t="s">
        <v>53</v>
      </c>
      <c r="M63" s="213" t="s">
        <v>472</v>
      </c>
      <c r="N63" s="214">
        <f>IFERROR(_xlfn.XLOOKUP(B63,Terméklista!B74:B175,Terméklista!H74:H175)," ")</f>
        <v>0</v>
      </c>
      <c r="O63" s="218">
        <f>IFERROR(ROUNDUP(Rendelés[[#This Row],[Amount/pc]]/_xlfn.XLOOKUP(B63,Terméklista!$B$2:$B$103,Terméklista!$M$2:$M$103,),0)," ")</f>
        <v>25</v>
      </c>
      <c r="P63" s="212">
        <f>IFERROR(ROUNDUP(Rendelés[[#This Row],[Dobozok száma]]/_xlfn.XLOOKUP(B63,Terméklista!$B$2:$B$103,Terméklista!$N$2:$N$103,),0)," ")</f>
        <v>1</v>
      </c>
      <c r="Q63" s="219">
        <f>IFERROR(Rendelés[[#This Row],[Szükséges anyagmennyiség]]+(Rendelés[[#This Row],[Össz raklapok száma]]*25),"")</f>
        <v>225</v>
      </c>
      <c r="R63" s="305" cm="1">
        <f t="array" ref="R63">(H63*_xlfn.XLOOKUP(B63,Terméklista!$B$2:$B$103,Terméklista!F$2:$F$103,))/1000</f>
        <v>200</v>
      </c>
      <c r="S63" s="220">
        <f>IFERROR(((H63/_xlfn.XLOOKUP(B63,Terméklista!$B$2:$B$103,Terméklista!$E$2:$E$103)*_xlfn.XLOOKUP(B63,Terméklista!$B$2:$B$103,Terméklista!$I$2:$I$103)))/3600," ")</f>
        <v>8.6805555555555554</v>
      </c>
      <c r="T63" s="212" t="s">
        <v>668</v>
      </c>
    </row>
    <row r="64" spans="1:1189" s="212" customFormat="1" hidden="1">
      <c r="A64" s="212" t="s">
        <v>474</v>
      </c>
      <c r="B64" s="368" t="s">
        <v>480</v>
      </c>
      <c r="C64" s="214"/>
      <c r="D64" s="214"/>
      <c r="E64" s="212" t="s">
        <v>573</v>
      </c>
      <c r="F64" s="214" t="s">
        <v>545</v>
      </c>
      <c r="G64" s="215"/>
      <c r="H64" s="216">
        <v>4</v>
      </c>
      <c r="I64" s="217" t="d">
        <v>2025-09-08</v>
      </c>
      <c r="J64" s="217" t="d">
        <v>2025-09-08</v>
      </c>
      <c r="K64" s="217" t="d">
        <v>2025-09-08</v>
      </c>
      <c r="L64" s="213" t="s">
        <v>53</v>
      </c>
      <c r="M64" s="213"/>
      <c r="N64" s="214" t="str">
        <f>IFERROR(_xlfn.XLOOKUP(B64,Terméklista!B75:B176,Terméklista!H75:H176)," ")</f>
        <v xml:space="preserve"> </v>
      </c>
      <c r="O64" s="218" t="str">
        <f>IFERROR(ROUNDUP(Rendelés[[#This Row],[Amount/pc]]/_xlfn.XLOOKUP(B64,Terméklista!$B$2:$B$103,Terméklista!$M$2:$M$103,),0)," ")</f>
        <v xml:space="preserve"> </v>
      </c>
      <c r="P64" s="212" t="str">
        <f>IFERROR(ROUNDUP(Rendelés[[#This Row],[Dobozok száma]]/_xlfn.XLOOKUP(B64,Terméklista!$B$2:$B$103,Terméklista!$N$2:$N$103,),0)," ")</f>
        <v xml:space="preserve"> </v>
      </c>
      <c r="Q64" s="219" t="str">
        <f>IFERROR(Rendelés[[#This Row],[Szükséges anyagmennyiség]]+(Rendelés[[#This Row],[Össz raklapok száma]]*25),"")</f>
        <v/>
      </c>
      <c r="R64" s="305" cm="1">
        <f t="array" ref="R64">(H64*_xlfn.XLOOKUP(B64,Terméklista!$B$2:$B$103,Terméklista!F$2:$F$103,))/1000</f>
        <v>0</v>
      </c>
      <c r="S64" s="220" t="str">
        <f>IFERROR(((H64/_xlfn.XLOOKUP(B64,Terméklista!$B$2:$B$103,Terméklista!$E$2:$E$103)*_xlfn.XLOOKUP(B64,Terméklista!$B$2:$B$103,Terméklista!$I$2:$I$103)))/3600," ")</f>
        <v xml:space="preserve"> </v>
      </c>
      <c r="T64" s="212" t="s">
        <v>577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  <c r="AML64"/>
      <c r="AMM64"/>
      <c r="AMN64"/>
      <c r="AMO64"/>
      <c r="AMP64"/>
      <c r="AMQ64"/>
      <c r="AMR64"/>
      <c r="AMS64"/>
      <c r="AMT64"/>
      <c r="AMU64"/>
      <c r="AMV64"/>
      <c r="AMW64"/>
      <c r="AMX64"/>
      <c r="AMY64"/>
      <c r="AMZ64"/>
      <c r="ANA64"/>
      <c r="ANB64"/>
      <c r="ANC64"/>
      <c r="AND64"/>
      <c r="ANE64"/>
      <c r="ANF64"/>
      <c r="ANG64"/>
      <c r="ANH64"/>
      <c r="ANI64"/>
      <c r="ANJ64"/>
      <c r="ANK64"/>
      <c r="ANL64"/>
      <c r="ANM64"/>
      <c r="ANN64"/>
      <c r="ANO64"/>
      <c r="ANP64"/>
      <c r="ANQ64"/>
      <c r="ANR64"/>
      <c r="ANS64"/>
      <c r="ANT64"/>
      <c r="ANU64"/>
      <c r="ANV64"/>
      <c r="ANW64"/>
      <c r="ANX64"/>
      <c r="ANY64"/>
      <c r="ANZ64"/>
      <c r="AOA64"/>
      <c r="AOB64"/>
      <c r="AOC64"/>
      <c r="AOD64"/>
      <c r="AOE64"/>
      <c r="AOF64"/>
      <c r="AOG64"/>
      <c r="AOH64"/>
      <c r="AOI64"/>
      <c r="AOJ64"/>
      <c r="AOK64"/>
      <c r="AOL64"/>
      <c r="AOM64"/>
      <c r="AON64"/>
      <c r="AOO64"/>
      <c r="AOP64"/>
      <c r="AOQ64"/>
      <c r="AOR64"/>
      <c r="AOS64"/>
      <c r="AOT64"/>
      <c r="AOU64"/>
      <c r="AOV64"/>
      <c r="AOW64"/>
      <c r="AOX64"/>
      <c r="AOY64"/>
      <c r="AOZ64"/>
      <c r="APA64"/>
      <c r="APB64"/>
      <c r="APC64"/>
      <c r="APD64"/>
      <c r="APE64"/>
      <c r="APF64"/>
      <c r="APG64"/>
      <c r="APH64"/>
      <c r="API64"/>
      <c r="APJ64"/>
      <c r="APK64"/>
      <c r="APL64"/>
      <c r="APM64"/>
      <c r="APN64"/>
      <c r="APO64"/>
      <c r="APP64"/>
      <c r="APQ64"/>
      <c r="APR64"/>
      <c r="APS64"/>
      <c r="APT64"/>
      <c r="APU64"/>
      <c r="APV64"/>
      <c r="APW64"/>
      <c r="APX64"/>
      <c r="APY64"/>
      <c r="APZ64"/>
      <c r="AQA64"/>
      <c r="AQB64"/>
      <c r="AQC64"/>
      <c r="AQD64"/>
      <c r="AQE64"/>
      <c r="AQF64"/>
      <c r="AQG64"/>
      <c r="AQH64"/>
      <c r="AQI64"/>
      <c r="AQJ64"/>
      <c r="AQK64"/>
      <c r="AQL64"/>
      <c r="AQM64"/>
      <c r="AQN64"/>
      <c r="AQO64"/>
      <c r="AQP64"/>
      <c r="AQQ64"/>
      <c r="AQR64"/>
      <c r="AQS64"/>
      <c r="AQT64"/>
      <c r="AQU64"/>
      <c r="AQV64"/>
      <c r="AQW64"/>
      <c r="AQX64"/>
      <c r="AQY64"/>
      <c r="AQZ64"/>
      <c r="ARA64"/>
      <c r="ARB64"/>
      <c r="ARC64"/>
      <c r="ARD64"/>
      <c r="ARE64"/>
      <c r="ARF64"/>
      <c r="ARG64"/>
      <c r="ARH64"/>
      <c r="ARI64"/>
      <c r="ARJ64"/>
      <c r="ARK64"/>
      <c r="ARL64"/>
      <c r="ARM64"/>
      <c r="ARN64"/>
      <c r="ARO64"/>
      <c r="ARP64"/>
      <c r="ARQ64"/>
      <c r="ARR64"/>
      <c r="ARS64"/>
      <c r="ART64"/>
      <c r="ARU64"/>
      <c r="ARV64"/>
      <c r="ARW64"/>
      <c r="ARX64"/>
      <c r="ARY64"/>
      <c r="ARZ64"/>
      <c r="ASA64"/>
      <c r="ASB64"/>
      <c r="ASC64"/>
      <c r="ASD64"/>
      <c r="ASE64"/>
      <c r="ASF64"/>
      <c r="ASG64"/>
      <c r="ASH64"/>
      <c r="ASI64"/>
      <c r="ASJ64"/>
      <c r="ASK64"/>
      <c r="ASL64"/>
      <c r="ASM64"/>
      <c r="ASN64"/>
      <c r="ASO64"/>
      <c r="ASP64"/>
      <c r="ASQ64"/>
      <c r="ASR64"/>
      <c r="ASS64"/>
    </row>
    <row r="65" spans="1:1189" hidden="1">
      <c r="A65" s="212" t="s">
        <v>474</v>
      </c>
      <c r="B65" s="368" t="s">
        <v>478</v>
      </c>
      <c r="C65" s="214"/>
      <c r="D65" s="214"/>
      <c r="E65" s="212" t="s">
        <v>574</v>
      </c>
      <c r="F65" s="214" t="s">
        <v>545</v>
      </c>
      <c r="G65" s="215"/>
      <c r="H65" s="216">
        <v>1</v>
      </c>
      <c r="I65" s="217" t="d">
        <v>2025-09-08</v>
      </c>
      <c r="J65" s="217" t="d">
        <v>2025-09-08</v>
      </c>
      <c r="K65" s="217" t="d">
        <v>2025-09-08</v>
      </c>
      <c r="L65" s="213" t="s">
        <v>53</v>
      </c>
      <c r="M65" s="213"/>
      <c r="N65" s="214" t="str">
        <f>IFERROR(_xlfn.XLOOKUP(B65,Terméklista!B76:B177,Terméklista!H76:H177)," ")</f>
        <v xml:space="preserve"> </v>
      </c>
      <c r="O65" s="218" t="str">
        <f>IFERROR(ROUNDUP(Rendelés[[#This Row],[Amount/pc]]/_xlfn.XLOOKUP(B65,Terméklista!$B$2:$B$103,Terméklista!$M$2:$M$103,),0)," ")</f>
        <v xml:space="preserve"> </v>
      </c>
      <c r="P65" s="212" t="str">
        <f>IFERROR(ROUNDUP(Rendelés[[#This Row],[Dobozok száma]]/_xlfn.XLOOKUP(B65,Terméklista!$B$2:$B$103,Terméklista!$N$2:$N$103,),0)," ")</f>
        <v xml:space="preserve"> </v>
      </c>
      <c r="Q65" s="219" t="str">
        <f>IFERROR(Rendelés[[#This Row],[Szükséges anyagmennyiség]]+(Rendelés[[#This Row],[Össz raklapok száma]]*25),"")</f>
        <v/>
      </c>
      <c r="R65" s="305" cm="1">
        <f t="array" ref="R65">(H65*_xlfn.XLOOKUP(B65,Terméklista!$B$2:$B$103,Terméklista!F$2:$F$103,))/1000</f>
        <v>0</v>
      </c>
      <c r="S65" s="220" t="str">
        <f>IFERROR(((H65/_xlfn.XLOOKUP(B65,Terméklista!$B$2:$B$103,Terméklista!$E$2:$E$103)*_xlfn.XLOOKUP(B65,Terméklista!$B$2:$B$103,Terméklista!$I$2:$I$103)))/3600," ")</f>
        <v xml:space="preserve"> </v>
      </c>
      <c r="T65" s="212" t="s">
        <v>577</v>
      </c>
    </row>
    <row r="66" spans="1:1189" s="212" customFormat="1" hidden="1">
      <c r="A66" s="212" t="s">
        <v>474</v>
      </c>
      <c r="B66" s="368" t="s">
        <v>479</v>
      </c>
      <c r="C66" s="214"/>
      <c r="D66" s="214"/>
      <c r="E66" s="212" t="s">
        <v>575</v>
      </c>
      <c r="F66" s="214" t="s">
        <v>545</v>
      </c>
      <c r="G66" s="215"/>
      <c r="H66" s="216">
        <v>1</v>
      </c>
      <c r="I66" s="217" t="d">
        <v>2025-09-08</v>
      </c>
      <c r="J66" s="217" t="d">
        <v>2025-09-08</v>
      </c>
      <c r="K66" s="217" t="d">
        <v>2025-09-08</v>
      </c>
      <c r="L66" s="213" t="s">
        <v>53</v>
      </c>
      <c r="M66" s="213"/>
      <c r="N66" s="214" t="str">
        <f>IFERROR(_xlfn.XLOOKUP(B66,Terméklista!B77:B178,Terméklista!H77:H178)," ")</f>
        <v xml:space="preserve"> </v>
      </c>
      <c r="O66" s="218" t="str">
        <f>IFERROR(ROUNDUP(Rendelés[[#This Row],[Amount/pc]]/_xlfn.XLOOKUP(B66,Terméklista!$B$2:$B$103,Terméklista!$M$2:$M$103,),0)," ")</f>
        <v xml:space="preserve"> </v>
      </c>
      <c r="P66" s="212" t="str">
        <f>IFERROR(ROUNDUP(Rendelés[[#This Row],[Dobozok száma]]/_xlfn.XLOOKUP(B66,Terméklista!$B$2:$B$103,Terméklista!$N$2:$N$103,),0)," ")</f>
        <v xml:space="preserve"> </v>
      </c>
      <c r="Q66" s="219" t="str">
        <f>IFERROR(Rendelés[[#This Row],[Szükséges anyagmennyiség]]+(Rendelés[[#This Row],[Össz raklapok száma]]*25),"")</f>
        <v/>
      </c>
      <c r="R66" s="305" cm="1">
        <f t="array" ref="R66">(H66*_xlfn.XLOOKUP(B66,Terméklista!$B$2:$B$103,Terméklista!F$2:$F$103,))/1000</f>
        <v>0</v>
      </c>
      <c r="S66" s="220" t="str">
        <f>IFERROR(((H66/_xlfn.XLOOKUP(B66,Terméklista!$B$2:$B$103,Terméklista!$E$2:$E$103)*_xlfn.XLOOKUP(B66,Terméklista!$B$2:$B$103,Terméklista!$I$2:$I$103)))/3600," ")</f>
        <v xml:space="preserve"> </v>
      </c>
      <c r="T66" s="212" t="s">
        <v>577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  <c r="AML66"/>
      <c r="AMM66"/>
      <c r="AMN66"/>
      <c r="AMO66"/>
      <c r="AMP66"/>
      <c r="AMQ66"/>
      <c r="AMR66"/>
      <c r="AMS66"/>
      <c r="AMT66"/>
      <c r="AMU66"/>
      <c r="AMV66"/>
      <c r="AMW66"/>
      <c r="AMX66"/>
      <c r="AMY66"/>
      <c r="AMZ66"/>
      <c r="ANA66"/>
      <c r="ANB66"/>
      <c r="ANC66"/>
      <c r="AND66"/>
      <c r="ANE66"/>
      <c r="ANF66"/>
      <c r="ANG66"/>
      <c r="ANH66"/>
      <c r="ANI66"/>
      <c r="ANJ66"/>
      <c r="ANK66"/>
      <c r="ANL66"/>
      <c r="ANM66"/>
      <c r="ANN66"/>
      <c r="ANO66"/>
      <c r="ANP66"/>
      <c r="ANQ66"/>
      <c r="ANR66"/>
      <c r="ANS66"/>
      <c r="ANT66"/>
      <c r="ANU66"/>
      <c r="ANV66"/>
      <c r="ANW66"/>
      <c r="ANX66"/>
      <c r="ANY66"/>
      <c r="ANZ66"/>
      <c r="AOA66"/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/>
      <c r="AOQ66"/>
      <c r="AOR66"/>
      <c r="AOS66"/>
      <c r="AOT66"/>
      <c r="AOU66"/>
      <c r="AOV66"/>
      <c r="AOW66"/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/>
      <c r="APU66"/>
      <c r="APV66"/>
      <c r="APW66"/>
      <c r="APX66"/>
      <c r="APY66"/>
      <c r="APZ66"/>
      <c r="AQA66"/>
      <c r="AQB66"/>
      <c r="AQC66"/>
      <c r="AQD66"/>
      <c r="AQE66"/>
      <c r="AQF66"/>
      <c r="AQG66"/>
      <c r="AQH66"/>
      <c r="AQI66"/>
      <c r="AQJ66"/>
      <c r="AQK66"/>
      <c r="AQL66"/>
      <c r="AQM66"/>
      <c r="AQN66"/>
      <c r="AQO66"/>
      <c r="AQP66"/>
      <c r="AQQ66"/>
      <c r="AQR66"/>
      <c r="AQS66"/>
      <c r="AQT66"/>
      <c r="AQU66"/>
      <c r="AQV66"/>
      <c r="AQW66"/>
      <c r="AQX66"/>
      <c r="AQY66"/>
      <c r="AQZ66"/>
      <c r="ARA66"/>
      <c r="ARB66"/>
      <c r="ARC66"/>
      <c r="ARD66"/>
      <c r="ARE66"/>
      <c r="ARF66"/>
      <c r="ARG66"/>
      <c r="ARH66"/>
      <c r="ARI66"/>
      <c r="ARJ66"/>
      <c r="ARK66"/>
      <c r="ARL66"/>
      <c r="ARM66"/>
      <c r="ARN66"/>
      <c r="ARO66"/>
      <c r="ARP66"/>
      <c r="ARQ66"/>
      <c r="ARR66"/>
      <c r="ARS66"/>
      <c r="ART66"/>
      <c r="ARU66"/>
      <c r="ARV66"/>
      <c r="ARW66"/>
      <c r="ARX66"/>
      <c r="ARY66"/>
      <c r="ARZ66"/>
      <c r="ASA66"/>
      <c r="ASB66"/>
      <c r="ASC66"/>
      <c r="ASD66"/>
      <c r="ASE66"/>
      <c r="ASF66"/>
      <c r="ASG66"/>
      <c r="ASH66"/>
      <c r="ASI66"/>
      <c r="ASJ66"/>
      <c r="ASK66"/>
      <c r="ASL66"/>
      <c r="ASM66"/>
      <c r="ASN66"/>
      <c r="ASO66"/>
      <c r="ASP66"/>
      <c r="ASQ66"/>
      <c r="ASR66"/>
      <c r="ASS66"/>
    </row>
    <row r="67" spans="1:1189" s="212" customFormat="1" hidden="1">
      <c r="A67" s="212" t="s">
        <v>474</v>
      </c>
      <c r="B67" s="368" t="s">
        <v>481</v>
      </c>
      <c r="C67" s="214"/>
      <c r="D67" s="214"/>
      <c r="E67" s="212" t="s">
        <v>576</v>
      </c>
      <c r="F67" s="214" t="s">
        <v>545</v>
      </c>
      <c r="G67" s="215"/>
      <c r="H67" s="216">
        <v>1</v>
      </c>
      <c r="I67" s="217" t="d">
        <v>2025-09-08</v>
      </c>
      <c r="J67" s="217" t="d">
        <v>2025-09-08</v>
      </c>
      <c r="K67" s="217" t="d">
        <v>2025-09-08</v>
      </c>
      <c r="L67" s="213" t="s">
        <v>53</v>
      </c>
      <c r="M67" s="213"/>
      <c r="N67" s="214" t="str">
        <f>IFERROR(_xlfn.XLOOKUP(B67,Terméklista!B78:B179,Terméklista!H78:H179)," ")</f>
        <v xml:space="preserve"> </v>
      </c>
      <c r="O67" s="218" t="str">
        <f>IFERROR(ROUNDUP(Rendelés[[#This Row],[Amount/pc]]/_xlfn.XLOOKUP(B67,Terméklista!$B$2:$B$103,Terméklista!$M$2:$M$103,),0)," ")</f>
        <v xml:space="preserve"> </v>
      </c>
      <c r="P67" s="212" t="str">
        <f>IFERROR(ROUNDUP(Rendelés[[#This Row],[Dobozok száma]]/_xlfn.XLOOKUP(B67,Terméklista!$B$2:$B$103,Terméklista!$N$2:$N$103,),0)," ")</f>
        <v xml:space="preserve"> </v>
      </c>
      <c r="Q67" s="219" t="str">
        <f>IFERROR(Rendelés[[#This Row],[Szükséges anyagmennyiség]]+(Rendelés[[#This Row],[Össz raklapok száma]]*25),"")</f>
        <v/>
      </c>
      <c r="R67" s="305" cm="1">
        <f t="array" ref="R67">(H67*_xlfn.XLOOKUP(B67,Terméklista!$B$2:$B$103,Terméklista!F$2:$F$103,))/1000</f>
        <v>0</v>
      </c>
      <c r="S67" s="220" t="str">
        <f>IFERROR(((H67/_xlfn.XLOOKUP(B67,Terméklista!$B$2:$B$103,Terméklista!$E$2:$E$103)*_xlfn.XLOOKUP(B67,Terméklista!$B$2:$B$103,Terméklista!$I$2:$I$103)))/3600," ")</f>
        <v xml:space="preserve"> </v>
      </c>
      <c r="T67" s="212" t="s">
        <v>577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N67"/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/>
      <c r="ANR67"/>
      <c r="ANS67"/>
      <c r="ANT67"/>
      <c r="ANU67"/>
      <c r="ANV67"/>
      <c r="ANW67"/>
      <c r="ANX67"/>
      <c r="ANY67"/>
      <c r="ANZ67"/>
      <c r="AOA67"/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/>
      <c r="ARL67"/>
      <c r="ARM67"/>
      <c r="ARN67"/>
      <c r="ARO67"/>
      <c r="ARP67"/>
      <c r="ARQ67"/>
      <c r="ARR67"/>
      <c r="ARS67"/>
      <c r="ART67"/>
      <c r="ARU67"/>
      <c r="ARV67"/>
      <c r="ARW67"/>
      <c r="ARX67"/>
      <c r="ARY67"/>
      <c r="ARZ67"/>
      <c r="ASA67"/>
      <c r="ASB67"/>
      <c r="ASC67"/>
      <c r="ASD67"/>
      <c r="ASE67"/>
      <c r="ASF67"/>
      <c r="ASG67"/>
      <c r="ASH67"/>
      <c r="ASI67"/>
      <c r="ASJ67"/>
      <c r="ASK67"/>
      <c r="ASL67"/>
      <c r="ASM67"/>
      <c r="ASN67"/>
      <c r="ASO67"/>
      <c r="ASP67"/>
      <c r="ASQ67"/>
      <c r="ASR67"/>
      <c r="ASS67"/>
    </row>
    <row r="68" spans="1:1189" s="212" customFormat="1" hidden="1">
      <c r="A68" s="212" t="s">
        <v>156</v>
      </c>
      <c r="B68" s="368" t="s">
        <v>85</v>
      </c>
      <c r="C68" s="214"/>
      <c r="D68" s="214"/>
      <c r="E68" s="212" t="s">
        <v>579</v>
      </c>
      <c r="F68" s="214" t="s">
        <v>81</v>
      </c>
      <c r="G68" s="215"/>
      <c r="H68" s="216">
        <v>1000</v>
      </c>
      <c r="I68" s="217" t="d">
        <v>2025-09-11</v>
      </c>
      <c r="J68" s="217" t="d">
        <v>2025-09-15</v>
      </c>
      <c r="K68" s="217"/>
      <c r="L68" s="213" t="s">
        <v>53</v>
      </c>
      <c r="M68" s="213" t="s">
        <v>472</v>
      </c>
      <c r="N68" s="214" t="str">
        <f>IFERROR(_xlfn.XLOOKUP(B68,Terméklista!B79:B180,Terméklista!H79:H180)," ")</f>
        <v xml:space="preserve"> </v>
      </c>
      <c r="O68" s="218" t="str">
        <f>IFERROR(ROUNDUP(Rendelés[[#This Row],[Amount/pc]]/_xlfn.XLOOKUP(B68,Terméklista!$B$2:$B$103,Terméklista!$M$2:$M$103,),0)," ")</f>
        <v xml:space="preserve"> </v>
      </c>
      <c r="P68" s="212" t="str">
        <f>IFERROR(ROUNDUP(Rendelés[[#This Row],[Dobozok száma]]/_xlfn.XLOOKUP(B68,Terméklista!$B$2:$B$103,Terméklista!$N$2:$N$103,),0)," ")</f>
        <v xml:space="preserve"> </v>
      </c>
      <c r="Q68" s="219" t="str">
        <f>IFERROR(Rendelés[[#This Row],[Szükséges anyagmennyiség]]+(Rendelés[[#This Row],[Össz raklapok száma]]*25),"")</f>
        <v/>
      </c>
      <c r="R68" s="305" cm="1">
        <f t="array" ref="R68">(H68*_xlfn.XLOOKUP(B68,Terméklista!$B$2:$B$103,Terméklista!F$2:$F$103,))/1000</f>
        <v>14.85</v>
      </c>
      <c r="S68" s="220">
        <f>IFERROR(((H68/_xlfn.XLOOKUP(B68,Terméklista!$B$2:$B$103,Terméklista!$E$2:$E$103)*_xlfn.XLOOKUP(B68,Terméklista!$B$2:$B$103,Terméklista!$I$2:$I$103)))/3600," ")</f>
        <v>2.0833333333333335</v>
      </c>
      <c r="T68" s="212" t="s">
        <v>580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/>
      <c r="ANT68"/>
      <c r="ANU68"/>
      <c r="ANV68"/>
      <c r="ANW68"/>
      <c r="ANX68"/>
      <c r="ANY68"/>
      <c r="ANZ68"/>
      <c r="AOA68"/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/>
      <c r="ARL68"/>
      <c r="ARM68"/>
      <c r="ARN68"/>
      <c r="ARO68"/>
      <c r="ARP68"/>
      <c r="ARQ68"/>
      <c r="ARR68"/>
      <c r="ARS68"/>
      <c r="ART68"/>
      <c r="ARU68"/>
      <c r="ARV68"/>
      <c r="ARW68"/>
      <c r="ARX68"/>
      <c r="ARY68"/>
      <c r="ARZ68"/>
      <c r="ASA68"/>
      <c r="ASB68"/>
      <c r="ASC68"/>
      <c r="ASD68"/>
      <c r="ASE68"/>
      <c r="ASF68"/>
      <c r="ASG68"/>
      <c r="ASH68"/>
      <c r="ASI68"/>
      <c r="ASJ68"/>
      <c r="ASK68"/>
      <c r="ASL68"/>
      <c r="ASM68"/>
      <c r="ASN68"/>
      <c r="ASO68"/>
      <c r="ASP68"/>
      <c r="ASQ68"/>
      <c r="ASR68"/>
      <c r="ASS68"/>
    </row>
    <row r="69" spans="1:1189" s="212" customFormat="1" hidden="1">
      <c r="A69" s="212" t="s">
        <v>156</v>
      </c>
      <c r="B69" s="368" t="s">
        <v>116</v>
      </c>
      <c r="C69" s="214" t="str">
        <f>IFERROR(_xlfn.XLOOKUP(B69,Terméklista!$B$2:$B$103,Terméklista!$C$2:$C$103,)," ")</f>
        <v>nagykulcs - 3mm</v>
      </c>
      <c r="D69" s="214"/>
      <c r="F69" s="214" t="str">
        <f>_xlfn.XLOOKUP(B69,Terméklista!B82:B183,Terméklista!G82:G183," ")</f>
        <v xml:space="preserve"> </v>
      </c>
      <c r="G69" s="215">
        <v>5906</v>
      </c>
      <c r="H69" s="216">
        <v>1000</v>
      </c>
      <c r="I69" s="217" t="d">
        <v>2025-09-25</v>
      </c>
      <c r="J69" s="217" t="d">
        <v>2025-10-20</v>
      </c>
      <c r="K69" s="217"/>
      <c r="L69" s="213" t="s">
        <v>53</v>
      </c>
      <c r="M69" s="213"/>
      <c r="N69" s="214" t="str">
        <f>IFERROR(_xlfn.XLOOKUP(B69,Terméklista!B82:B183,Terméklista!H82:H183)," ")</f>
        <v xml:space="preserve"> </v>
      </c>
      <c r="O69" s="218" t="str">
        <f>IFERROR(ROUNDUP(Rendelés[[#This Row],[Amount/pc]]/_xlfn.XLOOKUP(B69,Terméklista!$B$2:$B$103,Terméklista!$M$2:$M$103,),0)," ")</f>
        <v xml:space="preserve"> </v>
      </c>
      <c r="P69" s="212" t="str">
        <f>IFERROR(ROUNDUP(Rendelés[[#This Row],[Dobozok száma]]/_xlfn.XLOOKUP(B69,Terméklista!$B$2:$B$103,Terméklista!$N$2:$N$103,),0)," ")</f>
        <v xml:space="preserve"> </v>
      </c>
      <c r="Q69" s="219" t="str">
        <f>IFERROR(Rendelés[[#This Row],[Szükséges anyagmennyiség]]+(Rendelés[[#This Row],[Össz raklapok száma]]*25),"")</f>
        <v/>
      </c>
      <c r="R69" s="305" cm="1">
        <f t="array" ref="R69">(H69*_xlfn.XLOOKUP(B69,Terméklista!$B$2:$B$103,Terméklista!F$2:$F$103,))/1000</f>
        <v>47.550000000000004</v>
      </c>
      <c r="S69" s="220">
        <f>IFERROR(((H69/_xlfn.XLOOKUP(B69,Terméklista!$B$2:$B$103,Terméklista!$E$2:$E$103)*_xlfn.XLOOKUP(B69,Terméklista!$B$2:$B$103,Terméklista!$I$2:$I$103)))/3600," ")</f>
        <v>2.0833333333333335</v>
      </c>
      <c r="T69" s="212" t="s">
        <v>677</v>
      </c>
    </row>
    <row r="70" spans="1:1189" s="212" customFormat="1" hidden="1">
      <c r="A70" s="212" t="s">
        <v>180</v>
      </c>
      <c r="B70" s="368" t="s">
        <v>17</v>
      </c>
      <c r="C70" s="214" t="str">
        <f>IFERROR(_xlfn.XLOOKUP(B70,Terméklista!$B$2:$B$103,Terméklista!$C$2:$C$103,)," ")</f>
        <v>Zamak Gewicht</v>
      </c>
      <c r="D70" s="214" t="s">
        <v>501</v>
      </c>
      <c r="F70" s="214" t="str">
        <f>_xlfn.XLOOKUP(B70,Terméklista!B81:B182,Terméklista!G81:G182," ")</f>
        <v xml:space="preserve"> </v>
      </c>
      <c r="G70" s="215">
        <v>4500103317</v>
      </c>
      <c r="H70" s="216">
        <v>50000</v>
      </c>
      <c r="I70" s="217" t="d">
        <v>2025-09-29</v>
      </c>
      <c r="J70" s="217" t="d">
        <v>2026-01-26</v>
      </c>
      <c r="K70" s="217" t="d">
        <v>2026-01-23</v>
      </c>
      <c r="L70" s="213" t="s">
        <v>53</v>
      </c>
      <c r="M70" s="213" t="s">
        <v>472</v>
      </c>
      <c r="N70" s="214" t="str">
        <f>IFERROR(_xlfn.XLOOKUP(B70,Terméklista!B81:B182,Terméklista!H81:H182)," ")</f>
        <v xml:space="preserve"> </v>
      </c>
      <c r="O70" s="218">
        <f>IFERROR(ROUNDUP(Rendelés[[#This Row],[Amount/pc]]/_xlfn.XLOOKUP(B70,Terméklista!$B$2:$B$103,Terméklista!$M$2:$M$103,),0)," ")</f>
        <v>143</v>
      </c>
      <c r="P70" s="212">
        <f>IFERROR(ROUNDUP(Rendelés[[#This Row],[Dobozok száma]]/_xlfn.XLOOKUP(B70,Terméklista!$B$2:$B$103,Terméklista!$N$2:$N$103,),0)," ")</f>
        <v>2</v>
      </c>
      <c r="Q70" s="219">
        <f>IFERROR(Rendelés[[#This Row],[Szükséges anyagmennyiség]]+(Rendelés[[#This Row],[Össz raklapok száma]]*25),"")</f>
        <v>900</v>
      </c>
      <c r="R70" s="305" cm="1">
        <f t="array" ref="R70">(H70*_xlfn.XLOOKUP(B70,Terméklista!$B$2:$B$103,Terméklista!F$2:$F$103,))/1000</f>
        <v>850</v>
      </c>
      <c r="S70" s="220">
        <f>IFERROR(((H70/_xlfn.XLOOKUP(B70,Terméklista!$B$2:$B$103,Terméklista!$E$2:$E$103)*_xlfn.XLOOKUP(B70,Terméklista!$B$2:$B$103,Terméklista!$I$2:$I$103)))/3600," ")</f>
        <v>34.722222222222221</v>
      </c>
      <c r="T70" s="212" t="s">
        <v>695</v>
      </c>
      <c r="U70" s="212" t="s">
        <v>705</v>
      </c>
    </row>
    <row r="71" spans="1:1189" s="212" customFormat="1">
      <c r="A71" s="212" t="s">
        <v>165</v>
      </c>
      <c r="B71" s="368" t="s">
        <v>55</v>
      </c>
      <c r="C71" s="214">
        <f>IFERROR(_xlfn.XLOOKUP(B71,Terméklista!$B$2:$B$103,Terméklista!$C$2:$C$103,)," ")</f>
        <v>0</v>
      </c>
      <c r="D71" s="214"/>
      <c r="F71" s="214" t="str">
        <f>_xlfn.XLOOKUP(B71,Terméklista!B83:B184,Terméklista!G83:G184," ")</f>
        <v xml:space="preserve"> </v>
      </c>
      <c r="G71" s="215" t="s">
        <v>669</v>
      </c>
      <c r="H71" s="216">
        <v>11000</v>
      </c>
      <c r="I71" s="217" t="d">
        <v>2025-10-06</v>
      </c>
      <c r="J71" s="217"/>
      <c r="K71" s="217"/>
      <c r="L71" s="213"/>
      <c r="M71" s="213" t="s">
        <v>472</v>
      </c>
      <c r="N71" s="214" t="str">
        <f>IFERROR(_xlfn.XLOOKUP(B71,Terméklista!B83:B184,Terméklista!H83:H184)," ")</f>
        <v xml:space="preserve"> </v>
      </c>
      <c r="O71" s="218" t="str">
        <f>IFERROR(ROUNDUP(Rendelés[[#This Row],[Amount/pc]]/_xlfn.XLOOKUP(B71,Terméklista!$B$2:$B$103,Terméklista!$M$2:$M$103,),0)," ")</f>
        <v xml:space="preserve"> </v>
      </c>
      <c r="P71" s="212" t="str">
        <f>IFERROR(ROUNDUP(Rendelés[[#This Row],[Dobozok száma]]/_xlfn.XLOOKUP(B71,Terméklista!$B$2:$B$103,Terméklista!$N$2:$N$103,),0)," ")</f>
        <v xml:space="preserve"> </v>
      </c>
      <c r="Q71" s="219" t="str">
        <f>IFERROR(Rendelés[[#This Row],[Szükséges anyagmennyiség]]+(Rendelés[[#This Row],[Össz raklapok száma]]*25),"")</f>
        <v/>
      </c>
      <c r="R71" s="305" cm="1">
        <f t="array" ref="R71">(H71*_xlfn.XLOOKUP(B71,Terméklista!$B$2:$B$103,Terméklista!F$2:$F$103,))/1000</f>
        <v>0</v>
      </c>
      <c r="S71" s="220" t="str">
        <f>IFERROR(((H71/_xlfn.XLOOKUP(B71,Terméklista!$B$2:$B$103,Terméklista!$E$2:$E$103)*_xlfn.XLOOKUP(B71,Terméklista!$B$2:$B$103,Terméklista!$I$2:$I$103)))/3600," ")</f>
        <v xml:space="preserve"> </v>
      </c>
      <c r="T71" s="212" t="s">
        <v>687</v>
      </c>
      <c r="U71" s="212" t="s">
        <v>705</v>
      </c>
    </row>
    <row r="72" spans="1:1189" s="212" customFormat="1">
      <c r="A72" s="212" t="s">
        <v>165</v>
      </c>
      <c r="B72" s="368" t="s">
        <v>56</v>
      </c>
      <c r="C72" s="214">
        <f>IFERROR(_xlfn.XLOOKUP(B72,Terméklista!$B$2:$B$103,Terméklista!$C$2:$C$103,)," ")</f>
        <v>0</v>
      </c>
      <c r="D72" s="214"/>
      <c r="F72" s="214" t="str">
        <f>_xlfn.XLOOKUP(B72,Terméklista!B84:B185,Terméklista!G84:G185," ")</f>
        <v xml:space="preserve"> </v>
      </c>
      <c r="G72" s="215" t="s">
        <v>669</v>
      </c>
      <c r="H72" s="216">
        <v>30000</v>
      </c>
      <c r="I72" s="217" t="d">
        <v>2025-10-06</v>
      </c>
      <c r="J72" s="217"/>
      <c r="K72" s="217"/>
      <c r="L72" s="213"/>
      <c r="M72" s="213" t="s">
        <v>472</v>
      </c>
      <c r="N72" s="214" t="str">
        <f>IFERROR(_xlfn.XLOOKUP(B72,Terméklista!B84:B185,Terméklista!H84:H185)," ")</f>
        <v xml:space="preserve"> </v>
      </c>
      <c r="O72" s="218" t="str">
        <f>IFERROR(ROUNDUP(Rendelés[[#This Row],[Amount/pc]]/_xlfn.XLOOKUP(B72,Terméklista!$B$2:$B$103,Terméklista!$M$2:$M$103,),0)," ")</f>
        <v xml:space="preserve"> </v>
      </c>
      <c r="P72" s="212" t="str">
        <f>IFERROR(ROUNDUP(Rendelés[[#This Row],[Dobozok száma]]/_xlfn.XLOOKUP(B72,Terméklista!$B$2:$B$103,Terméklista!$N$2:$N$103,),0)," ")</f>
        <v xml:space="preserve"> </v>
      </c>
      <c r="Q72" s="219" t="str">
        <f>IFERROR(Rendelés[[#This Row],[Szükséges anyagmennyiség]]+(Rendelés[[#This Row],[Össz raklapok száma]]*25),"")</f>
        <v/>
      </c>
      <c r="R72" s="305" cm="1">
        <f t="array" ref="R72">(H72*_xlfn.XLOOKUP(B72,Terméklista!$B$2:$B$103,Terméklista!F$2:$F$103,))/1000</f>
        <v>0</v>
      </c>
      <c r="S72" s="220" t="str">
        <f>IFERROR(((H72/_xlfn.XLOOKUP(B72,Terméklista!$B$2:$B$103,Terméklista!$E$2:$E$103)*_xlfn.XLOOKUP(B72,Terméklista!$B$2:$B$103,Terméklista!$I$2:$I$103)))/3600," ")</f>
        <v xml:space="preserve"> </v>
      </c>
      <c r="T72" s="212" t="s">
        <v>687</v>
      </c>
      <c r="U72" s="212" t="s">
        <v>705</v>
      </c>
    </row>
    <row r="73" spans="1:1189" s="212" customFormat="1" hidden="1">
      <c r="A73" s="212" t="s">
        <v>180</v>
      </c>
      <c r="B73" s="368" t="s">
        <v>16</v>
      </c>
      <c r="C73" s="214" t="str">
        <f>IFERROR(_xlfn.XLOOKUP(B73,Terméklista!$B$2:$B$103,Terméklista!$C$2:$C$103,)," ")</f>
        <v>Zamak Gewicht</v>
      </c>
      <c r="D73" s="214" t="s">
        <v>501</v>
      </c>
      <c r="F73" s="214" t="str">
        <f>_xlfn.XLOOKUP(B73,Terméklista!B87:B188,Terméklista!G87:G188," ")</f>
        <v xml:space="preserve"> </v>
      </c>
      <c r="G73" s="215">
        <v>4500103496</v>
      </c>
      <c r="H73" s="216">
        <v>200000</v>
      </c>
      <c r="I73" s="217" t="d">
        <v>2025-10-09</v>
      </c>
      <c r="J73" s="217" t="d">
        <v>2025-10-31</v>
      </c>
      <c r="K73" s="217"/>
      <c r="L73" s="213" t="s">
        <v>53</v>
      </c>
      <c r="M73" s="213" t="s">
        <v>472</v>
      </c>
      <c r="N73" s="214" t="str">
        <f>IFERROR(_xlfn.XLOOKUP(B73,Terméklista!B87:B188,Terméklista!H87:H188)," ")</f>
        <v xml:space="preserve"> </v>
      </c>
      <c r="O73" s="218">
        <f>IFERROR(ROUNDUP(Rendelés[[#This Row],[Amount/pc]]/_xlfn.XLOOKUP(B73,Terméklista!$B$2:$B$103,Terméklista!$M$2:$M$103,),0)," ")</f>
        <v>400</v>
      </c>
      <c r="P73" s="212">
        <f>IFERROR(ROUNDUP(Rendelés[[#This Row],[Dobozok száma]]/_xlfn.XLOOKUP(B73,Terméklista!$B$2:$B$103,Terméklista!$N$2:$N$103,),0)," ")</f>
        <v>5</v>
      </c>
      <c r="Q73" s="219">
        <f>IFERROR(Rendelés[[#This Row],[Szükséges anyagmennyiség]]+(Rendelés[[#This Row],[Össz raklapok száma]]*25),"")</f>
        <v>2225</v>
      </c>
      <c r="R73" s="305" cm="1">
        <f t="array" ref="R73">(H73*_xlfn.XLOOKUP(B73,Terméklista!$B$2:$B$103,Terméklista!F$2:$F$103,))/1000</f>
        <v>2100</v>
      </c>
      <c r="S73" s="220">
        <f>IFERROR(((H73/_xlfn.XLOOKUP(B73,Terméklista!$B$2:$B$103,Terméklista!$E$2:$E$103)*_xlfn.XLOOKUP(B73,Terméklista!$B$2:$B$103,Terméklista!$I$2:$I$103)))/3600," ")</f>
        <v>138.88888888888889</v>
      </c>
      <c r="T73" s="212" t="s">
        <v>679</v>
      </c>
    </row>
    <row r="74" spans="1:1189" s="212" customFormat="1" hidden="1">
      <c r="A74" s="212" t="s">
        <v>180</v>
      </c>
      <c r="B74" s="368" t="s">
        <v>16</v>
      </c>
      <c r="C74" s="214" t="str">
        <f>IFERROR(_xlfn.XLOOKUP(B74,Terméklista!$B$2:$B$103,Terméklista!$C$2:$C$103,)," ")</f>
        <v>Zamak Gewicht</v>
      </c>
      <c r="D74" s="214" t="s">
        <v>674</v>
      </c>
      <c r="F74" s="214" t="str">
        <f>_xlfn.XLOOKUP(B74,Terméklista!B88:B189,Terméklista!G88:G189," ")</f>
        <v xml:space="preserve"> </v>
      </c>
      <c r="G74" s="215">
        <v>4500103496</v>
      </c>
      <c r="H74" s="216">
        <v>200000</v>
      </c>
      <c r="I74" s="217" t="d">
        <v>2025-10-09</v>
      </c>
      <c r="J74" s="217" t="d">
        <v>2025-11-10</v>
      </c>
      <c r="K74" s="217"/>
      <c r="L74" s="213" t="s">
        <v>53</v>
      </c>
      <c r="M74" s="213" t="s">
        <v>472</v>
      </c>
      <c r="N74" s="214" t="str">
        <f>IFERROR(_xlfn.XLOOKUP(B74,Terméklista!B88:B189,Terméklista!H88:H189)," ")</f>
        <v xml:space="preserve"> </v>
      </c>
      <c r="O74" s="218">
        <f>IFERROR(ROUNDUP(Rendelés[[#This Row],[Amount/pc]]/_xlfn.XLOOKUP(B74,Terméklista!$B$2:$B$103,Terméklista!$M$2:$M$103,),0)," ")</f>
        <v>400</v>
      </c>
      <c r="P74" s="212">
        <f>IFERROR(ROUNDUP(Rendelés[[#This Row],[Dobozok száma]]/_xlfn.XLOOKUP(B74,Terméklista!$B$2:$B$103,Terméklista!$N$2:$N$103,),0)," ")</f>
        <v>5</v>
      </c>
      <c r="Q74" s="219">
        <f>IFERROR(Rendelés[[#This Row],[Szükséges anyagmennyiség]]+(Rendelés[[#This Row],[Össz raklapok száma]]*25),"")</f>
        <v>2225</v>
      </c>
      <c r="R74" s="305" cm="1">
        <f t="array" ref="R74">(H74*_xlfn.XLOOKUP(B74,Terméklista!$B$2:$B$103,Terméklista!F$2:$F$103,))/1000</f>
        <v>2100</v>
      </c>
      <c r="S74" s="220">
        <f>IFERROR(((H74/_xlfn.XLOOKUP(B74,Terméklista!$B$2:$B$103,Terméklista!$E$2:$E$103)*_xlfn.XLOOKUP(B74,Terméklista!$B$2:$B$103,Terméklista!$I$2:$I$103)))/3600," ")</f>
        <v>138.88888888888889</v>
      </c>
    </row>
    <row r="75" spans="1:1189" s="212" customFormat="1" hidden="1">
      <c r="A75" s="212" t="s">
        <v>180</v>
      </c>
      <c r="B75" s="368" t="s">
        <v>16</v>
      </c>
      <c r="C75" s="214" t="str">
        <f>IFERROR(_xlfn.XLOOKUP(B75,Terméklista!$B$2:$B$103,Terméklista!$C$2:$C$103,)," ")</f>
        <v>Zamak Gewicht</v>
      </c>
      <c r="D75" s="214" t="s">
        <v>675</v>
      </c>
      <c r="F75" s="214" t="str">
        <f>_xlfn.XLOOKUP(B75,Terméklista!B89:B190,Terméklista!G89:G190," ")</f>
        <v xml:space="preserve"> </v>
      </c>
      <c r="G75" s="215">
        <v>4500103496</v>
      </c>
      <c r="H75" s="216">
        <v>200000</v>
      </c>
      <c r="I75" s="217" t="d">
        <v>2025-10-09</v>
      </c>
      <c r="J75" s="217" t="d">
        <v>2026-01-09</v>
      </c>
      <c r="K75" s="217"/>
      <c r="L75" s="213" t="s">
        <v>53</v>
      </c>
      <c r="M75" s="213" t="s">
        <v>472</v>
      </c>
      <c r="N75" s="214" t="str">
        <f>IFERROR(_xlfn.XLOOKUP(B75,Terméklista!B89:B190,Terméklista!H89:H190)," ")</f>
        <v xml:space="preserve"> </v>
      </c>
      <c r="O75" s="218">
        <f>IFERROR(ROUNDUP(Rendelés[[#This Row],[Amount/pc]]/_xlfn.XLOOKUP(B75,Terméklista!$B$2:$B$103,Terméklista!$M$2:$M$103,),0)," ")</f>
        <v>400</v>
      </c>
      <c r="P75" s="212">
        <f>IFERROR(ROUNDUP(Rendelés[[#This Row],[Dobozok száma]]/_xlfn.XLOOKUP(B75,Terméklista!$B$2:$B$103,Terméklista!$N$2:$N$103,),0)," ")</f>
        <v>5</v>
      </c>
      <c r="Q75" s="219">
        <f>IFERROR(Rendelés[[#This Row],[Szükséges anyagmennyiség]]+(Rendelés[[#This Row],[Össz raklapok száma]]*25),"")</f>
        <v>2225</v>
      </c>
      <c r="R75" s="305" cm="1">
        <f t="array" ref="R75">(H75*_xlfn.XLOOKUP(B75,Terméklista!$B$2:$B$103,Terméklista!F$2:$F$103,))/1000</f>
        <v>2100</v>
      </c>
      <c r="S75" s="220">
        <f>IFERROR(((H75/_xlfn.XLOOKUP(B75,Terméklista!$B$2:$B$103,Terméklista!$E$2:$E$103)*_xlfn.XLOOKUP(B75,Terméklista!$B$2:$B$103,Terméklista!$I$2:$I$103)))/3600," ")</f>
        <v>138.88888888888889</v>
      </c>
      <c r="T75" s="212" t="s">
        <v>689</v>
      </c>
    </row>
    <row r="76" spans="1:1189" s="212" customFormat="1" hidden="1">
      <c r="A76" s="212" t="s">
        <v>180</v>
      </c>
      <c r="B76" s="368" t="s">
        <v>43</v>
      </c>
      <c r="C76" s="214" t="str">
        <f>IFERROR(_xlfn.XLOOKUP(B76,Terméklista!$B$2:$B$103,Terméklista!$C$2:$C$103,)," ")</f>
        <v>Zamak Gewicht</v>
      </c>
      <c r="D76" s="214" t="s">
        <v>501</v>
      </c>
      <c r="F76" s="214" t="str">
        <f>_xlfn.XLOOKUP(B76,Terméklista!B90:B191,Terméklista!G90:G191," ")</f>
        <v xml:space="preserve"> </v>
      </c>
      <c r="G76" s="215">
        <v>4500103476</v>
      </c>
      <c r="H76" s="216">
        <v>54000</v>
      </c>
      <c r="I76" s="217" t="d">
        <v>2025-10-10</v>
      </c>
      <c r="J76" s="217" t="d">
        <v>2026-01-06</v>
      </c>
      <c r="K76" s="217"/>
      <c r="L76" s="213" t="s">
        <v>53</v>
      </c>
      <c r="M76" s="213" t="s">
        <v>472</v>
      </c>
      <c r="N76" s="214" t="str">
        <f>IFERROR(_xlfn.XLOOKUP(B76,Terméklista!B90:B191,Terméklista!H90:H191)," ")</f>
        <v xml:space="preserve"> </v>
      </c>
      <c r="O76" s="218">
        <f>IFERROR(ROUNDUP(Rendelés[[#This Row],[Amount/pc]]/_xlfn.XLOOKUP(B76,Terméklista!$B$2:$B$103,Terméklista!$M$2:$M$103,),0)," ")</f>
        <v>54</v>
      </c>
      <c r="P76" s="212">
        <f>IFERROR(ROUNDUP(Rendelés[[#This Row],[Dobozok száma]]/_xlfn.XLOOKUP(B76,Terméklista!$B$2:$B$103,Terméklista!$N$2:$N$103,),0)," ")</f>
        <v>1</v>
      </c>
      <c r="Q76" s="219">
        <f>IFERROR(Rendelés[[#This Row],[Szükséges anyagmennyiség]]+(Rendelés[[#This Row],[Össz raklapok száma]]*25),"")</f>
        <v>457</v>
      </c>
      <c r="R76" s="305" cm="1">
        <f t="array" ref="R76">(H76*_xlfn.XLOOKUP(B76,Terméklista!$B$2:$B$103,Terméklista!F$2:$F$103,))/1000</f>
        <v>432</v>
      </c>
      <c r="S76" s="220">
        <f>IFERROR(((H76/_xlfn.XLOOKUP(B76,Terméklista!$B$2:$B$103,Terméklista!$E$2:$E$103)*_xlfn.XLOOKUP(B76,Terméklista!$B$2:$B$103,Terméklista!$I$2:$I$103)))/3600," ")</f>
        <v>18.75</v>
      </c>
      <c r="T76" s="212" t="s">
        <v>689</v>
      </c>
    </row>
    <row r="77" spans="1:1189" s="212" customFormat="1" hidden="1">
      <c r="A77" s="212" t="s">
        <v>180</v>
      </c>
      <c r="B77" s="213" t="s">
        <v>17</v>
      </c>
      <c r="C77" s="214" t="str">
        <f>IFERROR(_xlfn.XLOOKUP(B77,Terméklista!$B$2:$B$103,Terméklista!$C$2:$C$103,)," ")</f>
        <v>Zamak Gewicht</v>
      </c>
      <c r="D77" s="214"/>
      <c r="E77" s="213" t="s">
        <v>488</v>
      </c>
      <c r="F77" s="214" t="str">
        <f>_xlfn.XLOOKUP(B77,Terméklista!$B$2:$B$103,Terméklista!$G$2:$G$103," ")</f>
        <v xml:space="preserve"> Z410</v>
      </c>
      <c r="G77" s="215">
        <v>4500100901</v>
      </c>
      <c r="H77" s="216">
        <v>50000</v>
      </c>
      <c r="I77" s="217" t="s">
        <v>471</v>
      </c>
      <c r="J77" s="217" t="d">
        <v>2025-06-06</v>
      </c>
      <c r="K77" s="217" t="d">
        <v>2025-06-05</v>
      </c>
      <c r="L77" s="213" t="s">
        <v>53</v>
      </c>
      <c r="M77" s="213" t="s">
        <v>472</v>
      </c>
      <c r="N77" s="214" t="str">
        <f>_xlfn.XLOOKUP(J77,Terméklista!$B$2:$B$103,Terméklista!$H$2:$H$103," ")</f>
        <v xml:space="preserve"> </v>
      </c>
      <c r="O77" s="218">
        <f>IFERROR(ROUNDUP(Rendelés[[#This Row],[Amount/pc]]/_xlfn.XLOOKUP(B77,Terméklista!$B$2:$B$103,Terméklista!$M$2:$M$103,),0)," ")</f>
        <v>143</v>
      </c>
      <c r="P77" s="212">
        <f>IFERROR(ROUNDUP(Rendelés[[#This Row],[Dobozok száma]]/_xlfn.XLOOKUP(B77,Terméklista!$B$2:$B$103,Terméklista!$N$2:$N$103,),0)," ")</f>
        <v>2</v>
      </c>
      <c r="Q77" s="219">
        <f>IFERROR(Rendelés[[#This Row],[Szükséges anyagmennyiség]]+(Rendelés[[#This Row],[Össz raklapok száma]]*25),"")</f>
        <v>900</v>
      </c>
      <c r="R77" s="305" cm="1">
        <f t="array" ref="R77">(H77*_xlfn.XLOOKUP(B77,Terméklista!$B$2:$B$103,Terméklista!F$2:$F$103,))/1000</f>
        <v>850</v>
      </c>
      <c r="S77" s="220">
        <f>IFERROR(((H77/_xlfn.XLOOKUP(B77,Terméklista!$B$2:$B$103,Terméklista!$E$2:$E$103)*_xlfn.XLOOKUP(B77,Terméklista!$B$2:$B$103,Terméklista!$I$2:$I$103)))/3600," ")</f>
        <v>34.722222222222221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  <c r="AML77"/>
      <c r="AMM77"/>
      <c r="AMN77"/>
      <c r="AMO77"/>
      <c r="AMP77"/>
      <c r="AMQ77"/>
      <c r="AMR77"/>
      <c r="AMS77"/>
      <c r="AMT77"/>
      <c r="AMU77"/>
      <c r="AMV77"/>
      <c r="AMW77"/>
      <c r="AMX77"/>
      <c r="AMY77"/>
      <c r="AMZ77"/>
      <c r="ANA77"/>
      <c r="ANB77"/>
      <c r="ANC77"/>
      <c r="AND77"/>
      <c r="ANE77"/>
      <c r="ANF77"/>
      <c r="ANG77"/>
      <c r="ANH77"/>
      <c r="ANI77"/>
      <c r="ANJ77"/>
      <c r="ANK77"/>
      <c r="ANL77"/>
      <c r="ANM77"/>
      <c r="ANN77"/>
      <c r="ANO77"/>
      <c r="ANP77"/>
      <c r="ANQ77"/>
      <c r="ANR77"/>
      <c r="ANS77"/>
      <c r="ANT77"/>
      <c r="ANU77"/>
      <c r="ANV77"/>
      <c r="ANW77"/>
      <c r="ANX77"/>
      <c r="ANY77"/>
      <c r="ANZ77"/>
      <c r="AOA77"/>
      <c r="AOB77"/>
      <c r="AOC77"/>
      <c r="AOD77"/>
      <c r="AOE77"/>
      <c r="AOF77"/>
      <c r="AOG77"/>
      <c r="AOH77"/>
      <c r="AOI77"/>
      <c r="AOJ77"/>
      <c r="AOK77"/>
      <c r="AOL77"/>
      <c r="AOM77"/>
      <c r="AON77"/>
      <c r="AOO77"/>
      <c r="AOP77"/>
      <c r="AOQ77"/>
      <c r="AOR77"/>
      <c r="AOS77"/>
      <c r="AOT77"/>
      <c r="AOU77"/>
      <c r="AOV77"/>
      <c r="AOW77"/>
      <c r="AOX77"/>
      <c r="AOY77"/>
      <c r="AOZ77"/>
      <c r="APA77"/>
      <c r="APB77"/>
      <c r="APC77"/>
      <c r="APD77"/>
      <c r="APE77"/>
      <c r="APF77"/>
      <c r="APG77"/>
      <c r="APH77"/>
      <c r="API77"/>
      <c r="APJ77"/>
      <c r="APK77"/>
      <c r="APL77"/>
      <c r="APM77"/>
      <c r="APN77"/>
      <c r="APO77"/>
      <c r="APP77"/>
      <c r="APQ77"/>
      <c r="APR77"/>
      <c r="APS77"/>
      <c r="APT77"/>
      <c r="APU77"/>
      <c r="APV77"/>
      <c r="APW77"/>
      <c r="APX77"/>
      <c r="APY77"/>
      <c r="APZ77"/>
      <c r="AQA77"/>
      <c r="AQB77"/>
      <c r="AQC77"/>
      <c r="AQD77"/>
      <c r="AQE77"/>
      <c r="AQF77"/>
      <c r="AQG77"/>
      <c r="AQH77"/>
      <c r="AQI77"/>
      <c r="AQJ77"/>
      <c r="AQK77"/>
      <c r="AQL77"/>
      <c r="AQM77"/>
      <c r="AQN77"/>
      <c r="AQO77"/>
      <c r="AQP77"/>
      <c r="AQQ77"/>
      <c r="AQR77"/>
      <c r="AQS77"/>
      <c r="AQT77"/>
      <c r="AQU77"/>
      <c r="AQV77"/>
      <c r="AQW77"/>
      <c r="AQX77"/>
      <c r="AQY77"/>
      <c r="AQZ77"/>
      <c r="ARA77"/>
      <c r="ARB77"/>
      <c r="ARC77"/>
      <c r="ARD77"/>
      <c r="ARE77"/>
      <c r="ARF77"/>
      <c r="ARG77"/>
      <c r="ARH77"/>
      <c r="ARI77"/>
      <c r="ARJ77"/>
      <c r="ARK77"/>
      <c r="ARL77"/>
      <c r="ARM77"/>
      <c r="ARN77"/>
      <c r="ARO77"/>
      <c r="ARP77"/>
      <c r="ARQ77"/>
      <c r="ARR77"/>
      <c r="ARS77"/>
      <c r="ART77"/>
      <c r="ARU77"/>
      <c r="ARV77"/>
      <c r="ARW77"/>
      <c r="ARX77"/>
      <c r="ARY77"/>
      <c r="ARZ77"/>
      <c r="ASA77"/>
      <c r="ASB77"/>
      <c r="ASC77"/>
      <c r="ASD77"/>
      <c r="ASE77"/>
      <c r="ASF77"/>
      <c r="ASG77"/>
      <c r="ASH77"/>
      <c r="ASI77"/>
      <c r="ASJ77"/>
      <c r="ASK77"/>
      <c r="ASL77"/>
      <c r="ASM77"/>
      <c r="ASN77"/>
      <c r="ASO77"/>
      <c r="ASP77"/>
      <c r="ASQ77"/>
      <c r="ASR77"/>
      <c r="ASS77"/>
    </row>
    <row r="78" spans="1:1189" s="212" customFormat="1" hidden="1">
      <c r="A78" s="212" t="s">
        <v>474</v>
      </c>
      <c r="B78" s="368" t="s">
        <v>480</v>
      </c>
      <c r="C78" s="214"/>
      <c r="D78" s="214"/>
      <c r="E78" s="213" t="s">
        <v>553</v>
      </c>
      <c r="F78" s="214" t="s">
        <v>545</v>
      </c>
      <c r="G78" s="215"/>
      <c r="H78" s="216" t="s">
        <v>554</v>
      </c>
      <c r="I78" s="217"/>
      <c r="J78" s="217"/>
      <c r="K78" s="217"/>
      <c r="L78" s="213" t="s">
        <v>53</v>
      </c>
      <c r="M78" s="213"/>
      <c r="N78" s="214">
        <f>IFERROR(_xlfn.XLOOKUP(B78,Terméklista!B59:B160,Terméklista!H59:H160)," ")</f>
        <v>0</v>
      </c>
      <c r="O78" s="218" t="str">
        <f>IFERROR(ROUNDUP(Rendelés[[#This Row],[Amount/pc]]/_xlfn.XLOOKUP(B78,Terméklista!$B$2:$B$103,Terméklista!$M$2:$M$103,),0)," ")</f>
        <v xml:space="preserve"> </v>
      </c>
      <c r="P78" s="212" t="str">
        <f>IFERROR(ROUNDUP(Rendelés[[#This Row],[Dobozok száma]]/_xlfn.XLOOKUP(B78,Terméklista!$B$2:$B$103,Terméklista!$N$2:$N$103,),0)," ")</f>
        <v xml:space="preserve"> </v>
      </c>
      <c r="Q78" s="219" t="str">
        <f>IFERROR(Rendelés[[#This Row],[Szükséges anyagmennyiség]]+(Rendelés[[#This Row],[Össz raklapok száma]]*25),"")</f>
        <v/>
      </c>
      <c r="R78" s="305"/>
      <c r="S78" s="220" t="str">
        <f>IFERROR(((H78/_xlfn.XLOOKUP(B78,Terméklista!$B$2:$B$103,Terméklista!$E$2:$E$103)*_xlfn.XLOOKUP(B78,Terméklista!$B$2:$B$103,Terméklista!$I$2:$I$103)))/3600," ")</f>
        <v xml:space="preserve"> </v>
      </c>
      <c r="T78" s="212" t="s">
        <v>560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  <c r="AMK78"/>
      <c r="AML78"/>
      <c r="AMM78"/>
      <c r="AMN78"/>
      <c r="AMO78"/>
      <c r="AMP78"/>
      <c r="AMQ78"/>
      <c r="AMR78"/>
      <c r="AMS78"/>
      <c r="AMT78"/>
      <c r="AMU78"/>
      <c r="AMV78"/>
      <c r="AMW78"/>
      <c r="AMX78"/>
      <c r="AMY78"/>
      <c r="AMZ78"/>
      <c r="ANA78"/>
      <c r="ANB78"/>
      <c r="ANC78"/>
      <c r="AND78"/>
      <c r="ANE78"/>
      <c r="ANF78"/>
      <c r="ANG78"/>
      <c r="ANH78"/>
      <c r="ANI78"/>
      <c r="ANJ78"/>
      <c r="ANK78"/>
      <c r="ANL78"/>
      <c r="ANM78"/>
      <c r="ANN78"/>
      <c r="ANO78"/>
      <c r="ANP78"/>
      <c r="ANQ78"/>
      <c r="ANR78"/>
      <c r="ANS78"/>
      <c r="ANT78"/>
      <c r="ANU78"/>
      <c r="ANV78"/>
      <c r="ANW78"/>
      <c r="ANX78"/>
      <c r="ANY78"/>
      <c r="ANZ78"/>
      <c r="AOA78"/>
      <c r="AOB78"/>
      <c r="AOC78"/>
      <c r="AOD78"/>
      <c r="AOE78"/>
      <c r="AOF78"/>
      <c r="AOG78"/>
      <c r="AOH78"/>
      <c r="AOI78"/>
      <c r="AOJ78"/>
      <c r="AOK78"/>
      <c r="AOL78"/>
      <c r="AOM78"/>
      <c r="AON78"/>
      <c r="AOO78"/>
      <c r="AOP78"/>
      <c r="AOQ78"/>
      <c r="AOR78"/>
      <c r="AOS78"/>
      <c r="AOT78"/>
      <c r="AOU78"/>
      <c r="AOV78"/>
      <c r="AOW78"/>
      <c r="AOX78"/>
      <c r="AOY78"/>
      <c r="AOZ78"/>
      <c r="APA78"/>
      <c r="APB78"/>
      <c r="APC78"/>
      <c r="APD78"/>
      <c r="APE78"/>
      <c r="APF78"/>
      <c r="APG78"/>
      <c r="APH78"/>
      <c r="API78"/>
      <c r="APJ78"/>
      <c r="APK78"/>
      <c r="APL78"/>
      <c r="APM78"/>
      <c r="APN78"/>
      <c r="APO78"/>
      <c r="APP78"/>
      <c r="APQ78"/>
      <c r="APR78"/>
      <c r="APS78"/>
      <c r="APT78"/>
      <c r="APU78"/>
      <c r="APV78"/>
      <c r="APW78"/>
      <c r="APX78"/>
      <c r="APY78"/>
      <c r="APZ78"/>
      <c r="AQA78"/>
      <c r="AQB78"/>
      <c r="AQC78"/>
      <c r="AQD78"/>
      <c r="AQE78"/>
      <c r="AQF78"/>
      <c r="AQG78"/>
      <c r="AQH78"/>
      <c r="AQI78"/>
      <c r="AQJ78"/>
      <c r="AQK78"/>
      <c r="AQL78"/>
      <c r="AQM78"/>
      <c r="AQN78"/>
      <c r="AQO78"/>
      <c r="AQP78"/>
      <c r="AQQ78"/>
      <c r="AQR78"/>
      <c r="AQS78"/>
      <c r="AQT78"/>
      <c r="AQU78"/>
      <c r="AQV78"/>
      <c r="AQW78"/>
      <c r="AQX78"/>
      <c r="AQY78"/>
      <c r="AQZ78"/>
      <c r="ARA78"/>
      <c r="ARB78"/>
      <c r="ARC78"/>
      <c r="ARD78"/>
      <c r="ARE78"/>
      <c r="ARF78"/>
      <c r="ARG78"/>
      <c r="ARH78"/>
      <c r="ARI78"/>
      <c r="ARJ78"/>
      <c r="ARK78"/>
      <c r="ARL78"/>
      <c r="ARM78"/>
      <c r="ARN78"/>
      <c r="ARO78"/>
      <c r="ARP78"/>
      <c r="ARQ78"/>
      <c r="ARR78"/>
      <c r="ARS78"/>
      <c r="ART78"/>
      <c r="ARU78"/>
      <c r="ARV78"/>
      <c r="ARW78"/>
      <c r="ARX78"/>
      <c r="ARY78"/>
      <c r="ARZ78"/>
      <c r="ASA78"/>
      <c r="ASB78"/>
      <c r="ASC78"/>
      <c r="ASD78"/>
      <c r="ASE78"/>
      <c r="ASF78"/>
      <c r="ASG78"/>
      <c r="ASH78"/>
      <c r="ASI78"/>
      <c r="ASJ78"/>
      <c r="ASK78"/>
      <c r="ASL78"/>
      <c r="ASM78"/>
      <c r="ASN78"/>
      <c r="ASO78"/>
      <c r="ASP78"/>
      <c r="ASQ78"/>
      <c r="ASR78"/>
      <c r="ASS78"/>
    </row>
    <row r="79" spans="1:1189" s="212" customFormat="1" hidden="1">
      <c r="A79" s="212" t="s">
        <v>474</v>
      </c>
      <c r="B79" s="368" t="s">
        <v>478</v>
      </c>
      <c r="C79" s="214"/>
      <c r="D79" s="214"/>
      <c r="E79" s="213" t="s">
        <v>557</v>
      </c>
      <c r="F79" s="214" t="s">
        <v>545</v>
      </c>
      <c r="G79" s="215"/>
      <c r="H79" s="216" t="s">
        <v>555</v>
      </c>
      <c r="I79" s="217"/>
      <c r="J79" s="217"/>
      <c r="K79" s="217"/>
      <c r="L79" s="213" t="s">
        <v>53</v>
      </c>
      <c r="M79" s="213"/>
      <c r="N79" s="214" t="str">
        <f>IFERROR(_xlfn.XLOOKUP(B79,Terméklista!B60:B161,Terméklista!H60:H161)," ")</f>
        <v xml:space="preserve"> </v>
      </c>
      <c r="O79" s="218" t="str">
        <f>IFERROR(ROUNDUP(Rendelés[[#This Row],[Amount/pc]]/_xlfn.XLOOKUP(B79,Terméklista!$B$2:$B$103,Terméklista!$M$2:$M$103,),0)," ")</f>
        <v xml:space="preserve"> </v>
      </c>
      <c r="P79" s="212" t="str">
        <f>IFERROR(ROUNDUP(Rendelés[[#This Row],[Dobozok száma]]/_xlfn.XLOOKUP(B79,Terméklista!$B$2:$B$103,Terméklista!$N$2:$N$103,),0)," ")</f>
        <v xml:space="preserve"> </v>
      </c>
      <c r="Q79" s="219" t="str">
        <f>IFERROR(Rendelés[[#This Row],[Szükséges anyagmennyiség]]+(Rendelés[[#This Row],[Össz raklapok száma]]*25),"")</f>
        <v/>
      </c>
      <c r="R79" s="305"/>
      <c r="S79" s="220" t="str">
        <f>IFERROR(((H79/_xlfn.XLOOKUP(B79,Terméklista!$B$2:$B$103,Terméklista!$E$2:$E$103)*_xlfn.XLOOKUP(B79,Terméklista!$B$2:$B$103,Terméklista!$I$2:$I$103)))/3600," ")</f>
        <v xml:space="preserve"> </v>
      </c>
      <c r="T79" s="212" t="s">
        <v>560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  <c r="AMK79"/>
      <c r="AML79"/>
      <c r="AMM79"/>
      <c r="AMN79"/>
      <c r="AMO79"/>
      <c r="AMP79"/>
      <c r="AMQ79"/>
      <c r="AMR79"/>
      <c r="AMS79"/>
      <c r="AMT79"/>
      <c r="AMU79"/>
      <c r="AMV79"/>
      <c r="AMW79"/>
      <c r="AMX79"/>
      <c r="AMY79"/>
      <c r="AMZ79"/>
      <c r="ANA79"/>
      <c r="ANB79"/>
      <c r="ANC79"/>
      <c r="AND79"/>
      <c r="ANE79"/>
      <c r="ANF79"/>
      <c r="ANG79"/>
      <c r="ANH79"/>
      <c r="ANI79"/>
      <c r="ANJ79"/>
      <c r="ANK79"/>
      <c r="ANL79"/>
      <c r="ANM79"/>
      <c r="ANN79"/>
      <c r="ANO79"/>
      <c r="ANP79"/>
      <c r="ANQ79"/>
      <c r="ANR79"/>
      <c r="ANS79"/>
      <c r="ANT79"/>
      <c r="ANU79"/>
      <c r="ANV79"/>
      <c r="ANW79"/>
      <c r="ANX79"/>
      <c r="ANY79"/>
      <c r="ANZ79"/>
      <c r="AOA79"/>
      <c r="AOB79"/>
      <c r="AOC79"/>
      <c r="AOD79"/>
      <c r="AOE79"/>
      <c r="AOF79"/>
      <c r="AOG79"/>
      <c r="AOH79"/>
      <c r="AOI79"/>
      <c r="AOJ79"/>
      <c r="AOK79"/>
      <c r="AOL79"/>
      <c r="AOM79"/>
      <c r="AON79"/>
      <c r="AOO79"/>
      <c r="AOP79"/>
      <c r="AOQ79"/>
      <c r="AOR79"/>
      <c r="AOS79"/>
      <c r="AOT79"/>
      <c r="AOU79"/>
      <c r="AOV79"/>
      <c r="AOW79"/>
      <c r="AOX79"/>
      <c r="AOY79"/>
      <c r="AOZ79"/>
      <c r="APA79"/>
      <c r="APB79"/>
      <c r="APC79"/>
      <c r="APD79"/>
      <c r="APE79"/>
      <c r="APF79"/>
      <c r="APG79"/>
      <c r="APH79"/>
      <c r="API79"/>
      <c r="APJ79"/>
      <c r="APK79"/>
      <c r="APL79"/>
      <c r="APM79"/>
      <c r="APN79"/>
      <c r="APO79"/>
      <c r="APP79"/>
      <c r="APQ79"/>
      <c r="APR79"/>
      <c r="APS79"/>
      <c r="APT79"/>
      <c r="APU79"/>
      <c r="APV79"/>
      <c r="APW79"/>
      <c r="APX79"/>
      <c r="APY79"/>
      <c r="APZ79"/>
      <c r="AQA79"/>
      <c r="AQB79"/>
      <c r="AQC79"/>
      <c r="AQD79"/>
      <c r="AQE79"/>
      <c r="AQF79"/>
      <c r="AQG79"/>
      <c r="AQH79"/>
      <c r="AQI79"/>
      <c r="AQJ79"/>
      <c r="AQK79"/>
      <c r="AQL79"/>
      <c r="AQM79"/>
      <c r="AQN79"/>
      <c r="AQO79"/>
      <c r="AQP79"/>
      <c r="AQQ79"/>
      <c r="AQR79"/>
      <c r="AQS79"/>
      <c r="AQT79"/>
      <c r="AQU79"/>
      <c r="AQV79"/>
      <c r="AQW79"/>
      <c r="AQX79"/>
      <c r="AQY79"/>
      <c r="AQZ79"/>
      <c r="ARA79"/>
      <c r="ARB79"/>
      <c r="ARC79"/>
      <c r="ARD79"/>
      <c r="ARE79"/>
      <c r="ARF79"/>
      <c r="ARG79"/>
      <c r="ARH79"/>
      <c r="ARI79"/>
      <c r="ARJ79"/>
      <c r="ARK79"/>
      <c r="ARL79"/>
      <c r="ARM79"/>
      <c r="ARN79"/>
      <c r="ARO79"/>
      <c r="ARP79"/>
      <c r="ARQ79"/>
      <c r="ARR79"/>
      <c r="ARS79"/>
      <c r="ART79"/>
      <c r="ARU79"/>
      <c r="ARV79"/>
      <c r="ARW79"/>
      <c r="ARX79"/>
      <c r="ARY79"/>
      <c r="ARZ79"/>
      <c r="ASA79"/>
      <c r="ASB79"/>
      <c r="ASC79"/>
      <c r="ASD79"/>
      <c r="ASE79"/>
      <c r="ASF79"/>
      <c r="ASG79"/>
      <c r="ASH79"/>
      <c r="ASI79"/>
      <c r="ASJ79"/>
      <c r="ASK79"/>
      <c r="ASL79"/>
      <c r="ASM79"/>
      <c r="ASN79"/>
      <c r="ASO79"/>
      <c r="ASP79"/>
      <c r="ASQ79"/>
      <c r="ASR79"/>
      <c r="ASS79"/>
    </row>
    <row r="80" spans="1:1189" s="212" customFormat="1" hidden="1">
      <c r="A80" s="212" t="s">
        <v>474</v>
      </c>
      <c r="B80" s="368" t="s">
        <v>504</v>
      </c>
      <c r="C80" s="214"/>
      <c r="D80" s="214"/>
      <c r="E80" s="212" t="s">
        <v>563</v>
      </c>
      <c r="F80" s="214"/>
      <c r="G80" s="215"/>
      <c r="H80" s="216"/>
      <c r="I80" s="217"/>
      <c r="J80" s="217"/>
      <c r="K80" s="217"/>
      <c r="L80" s="213" t="s">
        <v>53</v>
      </c>
      <c r="M80" s="213"/>
      <c r="N80" s="214" t="str">
        <f>IFERROR(_xlfn.XLOOKUP(B80,Terméklista!B63:B164,Terméklista!H63:H164)," ")</f>
        <v xml:space="preserve"> </v>
      </c>
      <c r="O80" s="218" t="str">
        <f>IFERROR(ROUNDUP(Rendelés[[#This Row],[Amount/pc]]/_xlfn.XLOOKUP(B80,Terméklista!$B$2:$B$103,Terméklista!$M$2:$M$103,),0)," ")</f>
        <v xml:space="preserve"> </v>
      </c>
      <c r="P80" s="212" t="str">
        <f>IFERROR(ROUNDUP(Rendelés[[#This Row],[Dobozok száma]]/_xlfn.XLOOKUP(B80,Terméklista!$B$2:$B$103,Terméklista!$N$2:$N$103,),0)," ")</f>
        <v xml:space="preserve"> </v>
      </c>
      <c r="Q80" s="219" t="str">
        <f>IFERROR(Rendelés[[#This Row],[Szükséges anyagmennyiség]]+(Rendelés[[#This Row],[Össz raklapok száma]]*25),"")</f>
        <v/>
      </c>
      <c r="R80" s="305" cm="1">
        <f t="array" ref="R80">(H80*_xlfn.XLOOKUP(B80,Terméklista!$B$2:$B$103,Terméklista!F$2:$F$103,))/1000</f>
        <v>0</v>
      </c>
      <c r="S80" s="220" t="str">
        <f>IFERROR(((H80/_xlfn.XLOOKUP(B80,Terméklista!$B$2:$B$103,Terméklista!$E$2:$E$103)*_xlfn.XLOOKUP(B80,Terméklista!$B$2:$B$103,Terméklista!$I$2:$I$103)))/3600," ")</f>
        <v xml:space="preserve"> </v>
      </c>
      <c r="T80" s="212" t="s">
        <v>565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  <c r="AMK80"/>
      <c r="AML80"/>
      <c r="AMM80"/>
      <c r="AMN80"/>
      <c r="AMO80"/>
      <c r="AMP80"/>
      <c r="AMQ80"/>
      <c r="AMR80"/>
      <c r="AMS80"/>
      <c r="AMT80"/>
      <c r="AMU80"/>
      <c r="AMV80"/>
      <c r="AMW80"/>
      <c r="AMX80"/>
      <c r="AMY80"/>
      <c r="AMZ80"/>
      <c r="ANA80"/>
      <c r="ANB80"/>
      <c r="ANC80"/>
      <c r="AND80"/>
      <c r="ANE80"/>
      <c r="ANF80"/>
      <c r="ANG80"/>
      <c r="ANH80"/>
      <c r="ANI80"/>
      <c r="ANJ80"/>
      <c r="ANK80"/>
      <c r="ANL80"/>
      <c r="ANM80"/>
      <c r="ANN80"/>
      <c r="ANO80"/>
      <c r="ANP80"/>
      <c r="ANQ80"/>
      <c r="ANR80"/>
      <c r="ANS80"/>
      <c r="ANT80"/>
      <c r="ANU80"/>
      <c r="ANV80"/>
      <c r="ANW80"/>
      <c r="ANX80"/>
      <c r="ANY80"/>
      <c r="ANZ80"/>
      <c r="AOA80"/>
      <c r="AOB80"/>
      <c r="AOC80"/>
      <c r="AOD80"/>
      <c r="AOE80"/>
      <c r="AOF80"/>
      <c r="AOG80"/>
      <c r="AOH80"/>
      <c r="AOI80"/>
      <c r="AOJ80"/>
      <c r="AOK80"/>
      <c r="AOL80"/>
      <c r="AOM80"/>
      <c r="AON80"/>
      <c r="AOO80"/>
      <c r="AOP80"/>
      <c r="AOQ80"/>
      <c r="AOR80"/>
      <c r="AOS80"/>
      <c r="AOT80"/>
      <c r="AOU80"/>
      <c r="AOV80"/>
      <c r="AOW80"/>
      <c r="AOX80"/>
      <c r="AOY80"/>
      <c r="AOZ80"/>
      <c r="APA80"/>
      <c r="APB80"/>
      <c r="APC80"/>
      <c r="APD80"/>
      <c r="APE80"/>
      <c r="APF80"/>
      <c r="APG80"/>
      <c r="APH80"/>
      <c r="API80"/>
      <c r="APJ80"/>
      <c r="APK80"/>
      <c r="APL80"/>
      <c r="APM80"/>
      <c r="APN80"/>
      <c r="APO80"/>
      <c r="APP80"/>
      <c r="APQ80"/>
      <c r="APR80"/>
      <c r="APS80"/>
      <c r="APT80"/>
      <c r="APU80"/>
      <c r="APV80"/>
      <c r="APW80"/>
      <c r="APX80"/>
      <c r="APY80"/>
      <c r="APZ80"/>
      <c r="AQA80"/>
      <c r="AQB80"/>
      <c r="AQC80"/>
      <c r="AQD80"/>
      <c r="AQE80"/>
      <c r="AQF80"/>
      <c r="AQG80"/>
      <c r="AQH80"/>
      <c r="AQI80"/>
      <c r="AQJ80"/>
      <c r="AQK80"/>
      <c r="AQL80"/>
      <c r="AQM80"/>
      <c r="AQN80"/>
      <c r="AQO80"/>
      <c r="AQP80"/>
      <c r="AQQ80"/>
      <c r="AQR80"/>
      <c r="AQS80"/>
      <c r="AQT80"/>
      <c r="AQU80"/>
      <c r="AQV80"/>
      <c r="AQW80"/>
      <c r="AQX80"/>
      <c r="AQY80"/>
      <c r="AQZ80"/>
      <c r="ARA80"/>
      <c r="ARB80"/>
      <c r="ARC80"/>
      <c r="ARD80"/>
      <c r="ARE80"/>
      <c r="ARF80"/>
      <c r="ARG80"/>
      <c r="ARH80"/>
      <c r="ARI80"/>
      <c r="ARJ80"/>
      <c r="ARK80"/>
      <c r="ARL80"/>
      <c r="ARM80"/>
      <c r="ARN80"/>
      <c r="ARO80"/>
      <c r="ARP80"/>
      <c r="ARQ80"/>
      <c r="ARR80"/>
      <c r="ARS80"/>
      <c r="ART80"/>
      <c r="ARU80"/>
      <c r="ARV80"/>
      <c r="ARW80"/>
      <c r="ARX80"/>
      <c r="ARY80"/>
      <c r="ARZ80"/>
      <c r="ASA80"/>
      <c r="ASB80"/>
      <c r="ASC80"/>
      <c r="ASD80"/>
      <c r="ASE80"/>
      <c r="ASF80"/>
      <c r="ASG80"/>
      <c r="ASH80"/>
      <c r="ASI80"/>
      <c r="ASJ80"/>
      <c r="ASK80"/>
      <c r="ASL80"/>
      <c r="ASM80"/>
      <c r="ASN80"/>
      <c r="ASO80"/>
      <c r="ASP80"/>
      <c r="ASQ80"/>
      <c r="ASR80"/>
      <c r="ASS80"/>
    </row>
    <row r="81" spans="1:1189" s="212" customFormat="1" hidden="1">
      <c r="A81" s="212" t="s">
        <v>173</v>
      </c>
      <c r="B81" s="368" t="s">
        <v>583</v>
      </c>
      <c r="C81" s="214"/>
      <c r="D81" s="214"/>
      <c r="E81" s="212" t="s">
        <v>587</v>
      </c>
      <c r="F81" s="214" t="s">
        <v>584</v>
      </c>
      <c r="G81" s="215"/>
      <c r="H81" s="216" t="s">
        <v>585</v>
      </c>
      <c r="I81" s="217"/>
      <c r="J81" s="217"/>
      <c r="K81" s="217" t="d">
        <v>2025-09-24</v>
      </c>
      <c r="L81" s="213" t="s">
        <v>53</v>
      </c>
      <c r="M81" s="213" t="s">
        <v>472</v>
      </c>
      <c r="N81" s="214">
        <f>IFERROR(_xlfn.XLOOKUP(B81,Terméklista!B80:B181,Terméklista!H80:H181)," ")</f>
        <v>0</v>
      </c>
      <c r="O81" s="218" t="str">
        <f>IFERROR(ROUNDUP(Rendelés[[#This Row],[Amount/pc]]/_xlfn.XLOOKUP(B81,Terméklista!$B$2:$B$103,Terméklista!$M$2:$M$103,),0)," ")</f>
        <v xml:space="preserve"> </v>
      </c>
      <c r="P81" s="212" t="str">
        <f>IFERROR(ROUNDUP(Rendelés[[#This Row],[Dobozok száma]]/_xlfn.XLOOKUP(B81,Terméklista!$B$2:$B$103,Terméklista!$N$2:$N$103,),0)," ")</f>
        <v xml:space="preserve"> </v>
      </c>
      <c r="Q81" s="219" t="str">
        <f>IFERROR(Rendelés[[#This Row],[Szükséges anyagmennyiség]]+(Rendelés[[#This Row],[Össz raklapok száma]]*25),"")</f>
        <v/>
      </c>
      <c r="R81" s="305" t="e" cm="1">
        <f t="array" ref="R81">(H81*_xlfn.XLOOKUP(B81,Terméklista!$B$2:$B$103,Terméklista!F$2:$F$103,))/1000</f>
        <v>#VALUE!</v>
      </c>
      <c r="S81" s="220" t="str">
        <f>IFERROR(((H81/_xlfn.XLOOKUP(B81,Terméklista!$B$2:$B$103,Terméklista!$E$2:$E$103)*_xlfn.XLOOKUP(B81,Terméklista!$B$2:$B$103,Terméklista!$I$2:$I$103)))/3600," ")</f>
        <v xml:space="preserve"> </v>
      </c>
      <c r="T81" s="212" t="s">
        <v>588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  <c r="AMK81"/>
      <c r="AML81"/>
      <c r="AMM81"/>
      <c r="AMN81"/>
      <c r="AMO81"/>
      <c r="AMP81"/>
      <c r="AMQ81"/>
      <c r="AMR81"/>
      <c r="AMS81"/>
      <c r="AMT81"/>
      <c r="AMU81"/>
      <c r="AMV81"/>
      <c r="AMW81"/>
      <c r="AMX81"/>
      <c r="AMY81"/>
      <c r="AMZ81"/>
      <c r="ANA81"/>
      <c r="ANB81"/>
      <c r="ANC81"/>
      <c r="AND81"/>
      <c r="ANE81"/>
      <c r="ANF81"/>
      <c r="ANG81"/>
      <c r="ANH81"/>
      <c r="ANI81"/>
      <c r="ANJ81"/>
      <c r="ANK81"/>
      <c r="ANL81"/>
      <c r="ANM81"/>
      <c r="ANN81"/>
      <c r="ANO81"/>
      <c r="ANP81"/>
      <c r="ANQ81"/>
      <c r="ANR81"/>
      <c r="ANS81"/>
      <c r="ANT81"/>
      <c r="ANU81"/>
      <c r="ANV81"/>
      <c r="ANW81"/>
      <c r="ANX81"/>
      <c r="ANY81"/>
      <c r="ANZ81"/>
      <c r="AOA81"/>
      <c r="AOB81"/>
      <c r="AOC81"/>
      <c r="AOD81"/>
      <c r="AOE81"/>
      <c r="AOF81"/>
      <c r="AOG81"/>
      <c r="AOH81"/>
      <c r="AOI81"/>
      <c r="AOJ81"/>
      <c r="AOK81"/>
      <c r="AOL81"/>
      <c r="AOM81"/>
      <c r="AON81"/>
      <c r="AOO81"/>
      <c r="AOP81"/>
      <c r="AOQ81"/>
      <c r="AOR81"/>
      <c r="AOS81"/>
      <c r="AOT81"/>
      <c r="AOU81"/>
      <c r="AOV81"/>
      <c r="AOW81"/>
      <c r="AOX81"/>
      <c r="AOY81"/>
      <c r="AOZ81"/>
      <c r="APA81"/>
      <c r="APB81"/>
      <c r="APC81"/>
      <c r="APD81"/>
      <c r="APE81"/>
      <c r="APF81"/>
      <c r="APG81"/>
      <c r="APH81"/>
      <c r="API81"/>
      <c r="APJ81"/>
      <c r="APK81"/>
      <c r="APL81"/>
      <c r="APM81"/>
      <c r="APN81"/>
      <c r="APO81"/>
      <c r="APP81"/>
      <c r="APQ81"/>
      <c r="APR81"/>
      <c r="APS81"/>
      <c r="APT81"/>
      <c r="APU81"/>
      <c r="APV81"/>
      <c r="APW81"/>
      <c r="APX81"/>
      <c r="APY81"/>
      <c r="APZ81"/>
      <c r="AQA81"/>
      <c r="AQB81"/>
      <c r="AQC81"/>
      <c r="AQD81"/>
      <c r="AQE81"/>
      <c r="AQF81"/>
      <c r="AQG81"/>
      <c r="AQH81"/>
      <c r="AQI81"/>
      <c r="AQJ81"/>
      <c r="AQK81"/>
      <c r="AQL81"/>
      <c r="AQM81"/>
      <c r="AQN81"/>
      <c r="AQO81"/>
      <c r="AQP81"/>
      <c r="AQQ81"/>
      <c r="AQR81"/>
      <c r="AQS81"/>
      <c r="AQT81"/>
      <c r="AQU81"/>
      <c r="AQV81"/>
      <c r="AQW81"/>
      <c r="AQX81"/>
      <c r="AQY81"/>
      <c r="AQZ81"/>
      <c r="ARA81"/>
      <c r="ARB81"/>
      <c r="ARC81"/>
      <c r="ARD81"/>
      <c r="ARE81"/>
      <c r="ARF81"/>
      <c r="ARG81"/>
      <c r="ARH81"/>
      <c r="ARI81"/>
      <c r="ARJ81"/>
      <c r="ARK81"/>
      <c r="ARL81"/>
      <c r="ARM81"/>
      <c r="ARN81"/>
      <c r="ARO81"/>
      <c r="ARP81"/>
      <c r="ARQ81"/>
      <c r="ARR81"/>
      <c r="ARS81"/>
      <c r="ART81"/>
      <c r="ARU81"/>
      <c r="ARV81"/>
      <c r="ARW81"/>
      <c r="ARX81"/>
      <c r="ARY81"/>
      <c r="ARZ81"/>
      <c r="ASA81"/>
      <c r="ASB81"/>
      <c r="ASC81"/>
      <c r="ASD81"/>
      <c r="ASE81"/>
      <c r="ASF81"/>
      <c r="ASG81"/>
      <c r="ASH81"/>
      <c r="ASI81"/>
      <c r="ASJ81"/>
      <c r="ASK81"/>
      <c r="ASL81"/>
      <c r="ASM81"/>
      <c r="ASN81"/>
      <c r="ASO81"/>
      <c r="ASP81"/>
      <c r="ASQ81"/>
      <c r="ASR81"/>
      <c r="ASS81"/>
    </row>
    <row r="82" spans="1:1189" hidden="1">
      <c r="A82" s="212" t="s">
        <v>474</v>
      </c>
      <c r="B82" s="368" t="s">
        <v>480</v>
      </c>
      <c r="C82" s="214" t="s">
        <v>505</v>
      </c>
      <c r="D82" s="214"/>
      <c r="E82" s="212" t="s">
        <v>672</v>
      </c>
      <c r="F82" s="214" t="s">
        <v>545</v>
      </c>
      <c r="G82" s="215"/>
      <c r="H82" s="216">
        <v>3</v>
      </c>
      <c r="I82" s="217"/>
      <c r="J82" s="217"/>
      <c r="K82" s="217" t="d">
        <v>2025-10-09</v>
      </c>
      <c r="L82" s="213" t="s">
        <v>53</v>
      </c>
      <c r="M82" s="213"/>
      <c r="N82" s="214" t="str">
        <f>IFERROR(_xlfn.XLOOKUP(B82,Terméklista!B85:B186,Terméklista!H85:H186)," ")</f>
        <v xml:space="preserve"> </v>
      </c>
      <c r="O82" s="218" t="str">
        <f>IFERROR(ROUNDUP(Rendelés[[#This Row],[Amount/pc]]/_xlfn.XLOOKUP(B82,Terméklista!$B$2:$B$103,Terméklista!$M$2:$M$103,),0)," ")</f>
        <v xml:space="preserve"> </v>
      </c>
      <c r="P82" s="212" t="str">
        <f>IFERROR(ROUNDUP(Rendelés[[#This Row],[Dobozok száma]]/_xlfn.XLOOKUP(B82,Terméklista!$B$2:$B$103,Terméklista!$N$2:$N$103,),0)," ")</f>
        <v xml:space="preserve"> </v>
      </c>
      <c r="Q82" s="219" t="str">
        <f>IFERROR(Rendelés[[#This Row],[Szükséges anyagmennyiség]]+(Rendelés[[#This Row],[Össz raklapok száma]]*25),"")</f>
        <v/>
      </c>
      <c r="R82" s="305" cm="1">
        <f t="array" ref="R82">(H82*_xlfn.XLOOKUP(B82,Terméklista!$B$2:$B$103,Terméklista!F$2:$F$103,))/1000</f>
        <v>0</v>
      </c>
      <c r="S82" s="220" t="str">
        <f>IFERROR(((H82/_xlfn.XLOOKUP(B82,Terméklista!$B$2:$B$103,Terméklista!$E$2:$E$103)*_xlfn.XLOOKUP(B82,Terméklista!$B$2:$B$103,Terméklista!$I$2:$I$103)))/3600," ")</f>
        <v xml:space="preserve"> </v>
      </c>
      <c r="T82" s="212" t="s">
        <v>676</v>
      </c>
    </row>
    <row r="83" spans="1:1189" hidden="1">
      <c r="A83" s="212" t="s">
        <v>474</v>
      </c>
      <c r="B83" s="368" t="s">
        <v>478</v>
      </c>
      <c r="C83" s="214" t="s">
        <v>670</v>
      </c>
      <c r="D83" s="214"/>
      <c r="E83" s="212" t="s">
        <v>673</v>
      </c>
      <c r="F83" s="214" t="s">
        <v>545</v>
      </c>
      <c r="G83" s="215"/>
      <c r="H83" s="216">
        <v>3</v>
      </c>
      <c r="I83" s="217"/>
      <c r="J83" s="217"/>
      <c r="K83" s="217" t="d">
        <v>2025-10-09</v>
      </c>
      <c r="L83" s="213" t="s">
        <v>53</v>
      </c>
      <c r="M83" s="213"/>
      <c r="N83" s="214" t="str">
        <f>IFERROR(_xlfn.XLOOKUP(B83,Terméklista!B86:B187,Terméklista!H86:H187)," ")</f>
        <v xml:space="preserve"> </v>
      </c>
      <c r="O83" s="218" t="str">
        <f>IFERROR(ROUNDUP(Rendelés[[#This Row],[Amount/pc]]/_xlfn.XLOOKUP(B83,Terméklista!$B$2:$B$103,Terméklista!$M$2:$M$103,),0)," ")</f>
        <v xml:space="preserve"> </v>
      </c>
      <c r="P83" s="212" t="str">
        <f>IFERROR(ROUNDUP(Rendelés[[#This Row],[Dobozok száma]]/_xlfn.XLOOKUP(B83,Terméklista!$B$2:$B$103,Terméklista!$N$2:$N$103,),0)," ")</f>
        <v xml:space="preserve"> </v>
      </c>
      <c r="Q83" s="219" t="str">
        <f>IFERROR(Rendelés[[#This Row],[Szükséges anyagmennyiség]]+(Rendelés[[#This Row],[Össz raklapok száma]]*25),"")</f>
        <v/>
      </c>
      <c r="R83" s="305" cm="1">
        <f t="array" ref="R83">(H83*_xlfn.XLOOKUP(B83,Terméklista!$B$2:$B$103,Terméklista!F$2:$F$103,))/1000</f>
        <v>0</v>
      </c>
      <c r="S83" s="220" t="str">
        <f>IFERROR(((H83/_xlfn.XLOOKUP(B83,Terméklista!$B$2:$B$103,Terméklista!$E$2:$E$103)*_xlfn.XLOOKUP(B83,Terméklista!$B$2:$B$103,Terméklista!$I$2:$I$103)))/3600," ")</f>
        <v xml:space="preserve"> </v>
      </c>
      <c r="T83" s="212" t="s">
        <v>676</v>
      </c>
    </row>
    <row r="84" spans="1:1189" hidden="1">
      <c r="A84" t="s">
        <v>474</v>
      </c>
      <c r="B84" s="369" t="s">
        <v>484</v>
      </c>
      <c r="C84" s="7" t="s">
        <v>483</v>
      </c>
      <c r="E84" s="34" t="s">
        <v>548</v>
      </c>
      <c r="F84" s="7" t="s">
        <v>545</v>
      </c>
      <c r="H84" s="150">
        <v>1</v>
      </c>
      <c r="L84" s="34" t="s">
        <v>53</v>
      </c>
      <c r="N84" s="7">
        <f>IFERROR(_xlfn.XLOOKUP(B84,Terméklista!B56:B157,Terméklista!H56:H157)," ")</f>
        <v>0</v>
      </c>
      <c r="O84" s="147" t="str">
        <f>IFERROR(ROUNDUP(Rendelés[[#This Row],[Amount/pc]]/_xlfn.XLOOKUP(B84,Terméklista!$B$2:$B$103,Terméklista!$M$2:$M$103,),0)," ")</f>
        <v xml:space="preserve"> </v>
      </c>
      <c r="P84" t="str">
        <f>IFERROR(ROUNDUP(Rendelés[[#This Row],[Dobozok száma]]/_xlfn.XLOOKUP(B84,Terméklista!$B$2:$B$103,Terméklista!$N$2:$N$103,),0)," ")</f>
        <v xml:space="preserve"> </v>
      </c>
      <c r="Q84" s="145" t="str">
        <f>IFERROR(Rendelés[[#This Row],[Szükséges anyagmennyiség]]+(Rendelés[[#This Row],[Össz raklapok száma]]*25),"")</f>
        <v/>
      </c>
      <c r="R84" s="144" cm="1">
        <f t="array" ref="R84">(H84*_xlfn.XLOOKUP(B84,Terméklista!$B$2:$B$103,Terméklista!F$2:$F$103,))/1000</f>
        <v>0</v>
      </c>
      <c r="S84" s="153" t="str">
        <f>IFERROR(((H84/_xlfn.XLOOKUP(B84,Terméklista!$B$2:$B$103,Terméklista!$E$2:$E$103)*_xlfn.XLOOKUP(B84,Terméklista!$B$2:$B$103,Terméklista!$I$2:$I$103)))/3600," ")</f>
        <v xml:space="preserve"> </v>
      </c>
      <c r="T84" t="s">
        <v>551</v>
      </c>
    </row>
    <row r="85" spans="1:1189" hidden="1">
      <c r="A85" t="s">
        <v>474</v>
      </c>
      <c r="B85" s="34" t="s">
        <v>478</v>
      </c>
      <c r="C85" s="203" t="str">
        <f>IFERROR(_xlfn.XLOOKUP(B85,Terméklista!$B$2:$B$103,Terméklista!$C$2:$C$103,)," ")</f>
        <v>VTSZ: 7602</v>
      </c>
      <c r="E85" s="34" t="s">
        <v>490</v>
      </c>
      <c r="F85" s="203" t="str">
        <f>_xlfn.XLOOKUP(B85,Terméklista!$B$2:$B$103,Terméklista!$G$2:$G$103," ")</f>
        <v>Forgács</v>
      </c>
      <c r="H85" s="150">
        <v>2</v>
      </c>
      <c r="L85" s="34" t="s">
        <v>53</v>
      </c>
      <c r="N85" s="203">
        <f>_xlfn.XLOOKUP(J85,Terméklista!$B$2:$B$103,Terméklista!$H$2:$H$103," ")</f>
        <v>0</v>
      </c>
      <c r="O85" s="147" t="str">
        <f>IFERROR(ROUNDUP(Rendelés[[#This Row],[Amount/pc]]/_xlfn.XLOOKUP(B85,Terméklista!$B$2:$B$103,Terméklista!$M$2:$M$103,),0)," ")</f>
        <v xml:space="preserve"> </v>
      </c>
      <c r="P85" t="str">
        <f>IFERROR(ROUNDUP(Rendelés[[#This Row],[Dobozok száma]]/_xlfn.XLOOKUP(B85,Terméklista!$B$2:$B$103,Terméklista!$N$2:$N$103,),0)," ")</f>
        <v xml:space="preserve"> </v>
      </c>
      <c r="Q85" s="142" t="str">
        <f>IFERROR(Rendelés[[#This Row],[Szükséges anyagmennyiség]]+(Rendelés[[#This Row],[Össz raklapok száma]]*25),"")</f>
        <v/>
      </c>
      <c r="R85" s="144" cm="1">
        <f t="array" ref="R85">(H85*_xlfn.XLOOKUP(B85,Terméklista!$B$2:$B$103,Terméklista!F$2:$F$103,))/1000</f>
        <v>0</v>
      </c>
      <c r="S85" s="153" t="str">
        <f>IFERROR(((H85/_xlfn.XLOOKUP(B85,Terméklista!$B$2:$B$103,Terméklista!$E$2:$E$103)*_xlfn.XLOOKUP(B85,Terméklista!$B$2:$B$103,Terméklista!$I$2:$I$103)))/3600," ")</f>
        <v xml:space="preserve"> </v>
      </c>
      <c r="T85" t="s">
        <v>487</v>
      </c>
    </row>
    <row r="86" spans="1:1189" s="212" customFormat="1" hidden="1">
      <c r="A86" t="s">
        <v>474</v>
      </c>
      <c r="B86" s="369" t="s">
        <v>478</v>
      </c>
      <c r="C86" s="203" t="str">
        <f>IFERROR(_xlfn.XLOOKUP(B86,Terméklista!$B$2:$B$103,Terméklista!$C$2:$C$103,)," ")</f>
        <v>VTSZ: 7602</v>
      </c>
      <c r="D86" s="7"/>
      <c r="E86" s="34" t="s">
        <v>519</v>
      </c>
      <c r="F86" s="203" t="str">
        <f>_xlfn.XLOOKUP(B86,Terméklista!$B$2:$B$103,Terméklista!$G$2:$G$103," ")</f>
        <v>Forgács</v>
      </c>
      <c r="G86" s="205"/>
      <c r="H86" s="150">
        <v>1</v>
      </c>
      <c r="I86" s="8"/>
      <c r="J86" s="8"/>
      <c r="K86" s="8"/>
      <c r="L86" s="34" t="s">
        <v>53</v>
      </c>
      <c r="M86" s="34"/>
      <c r="N86" s="203">
        <f>_xlfn.XLOOKUP(J86,Terméklista!$B$2:$B$103,Terméklista!$H$2:$H$103," ")</f>
        <v>0</v>
      </c>
      <c r="O86" s="147" t="str">
        <f>IFERROR(ROUNDUP(Rendelés[[#This Row],[Amount/pc]]/_xlfn.XLOOKUP(B86,Terméklista!$B$2:$B$103,Terméklista!$M$2:$M$103,),0)," ")</f>
        <v xml:space="preserve"> </v>
      </c>
      <c r="P86" t="str">
        <f>IFERROR(ROUNDUP(Rendelés[[#This Row],[Dobozok száma]]/_xlfn.XLOOKUP(B86,Terméklista!$B$2:$B$103,Terméklista!$N$2:$N$103,),0)," ")</f>
        <v xml:space="preserve"> </v>
      </c>
      <c r="Q86" s="142" t="str">
        <f>IFERROR(Rendelés[[#This Row],[Szükséges anyagmennyiség]]+(Rendelés[[#This Row],[Össz raklapok száma]]*25),"")</f>
        <v/>
      </c>
      <c r="R86" s="144" cm="1">
        <f t="array" ref="R86">(H86*_xlfn.XLOOKUP(B86,Terméklista!$B$2:$B$103,Terméklista!F$2:$F$103,))/1000</f>
        <v>0</v>
      </c>
      <c r="S86" s="153" t="str">
        <f>IFERROR(((H86/_xlfn.XLOOKUP(B86,Terméklista!$B$2:$B$103,Terméklista!$E$2:$E$103)*_xlfn.XLOOKUP(B86,Terméklista!$B$2:$B$103,Terméklista!$I$2:$I$103)))/3600," ")</f>
        <v xml:space="preserve"> </v>
      </c>
      <c r="T86" t="s">
        <v>499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  <c r="AMK86"/>
      <c r="AML86"/>
      <c r="AMM86"/>
      <c r="AMN86"/>
      <c r="AMO86"/>
      <c r="AMP86"/>
      <c r="AMQ86"/>
      <c r="AMR86"/>
      <c r="AMS86"/>
      <c r="AMT86"/>
      <c r="AMU86"/>
      <c r="AMV86"/>
      <c r="AMW86"/>
      <c r="AMX86"/>
      <c r="AMY86"/>
      <c r="AMZ86"/>
      <c r="ANA86"/>
      <c r="ANB86"/>
      <c r="ANC86"/>
      <c r="AND86"/>
      <c r="ANE86"/>
      <c r="ANF86"/>
      <c r="ANG86"/>
      <c r="ANH86"/>
      <c r="ANI86"/>
      <c r="ANJ86"/>
      <c r="ANK86"/>
      <c r="ANL86"/>
      <c r="ANM86"/>
      <c r="ANN86"/>
      <c r="ANO86"/>
      <c r="ANP86"/>
      <c r="ANQ86"/>
      <c r="ANR86"/>
      <c r="ANS86"/>
      <c r="ANT86"/>
      <c r="ANU86"/>
      <c r="ANV86"/>
      <c r="ANW86"/>
      <c r="ANX86"/>
      <c r="ANY86"/>
      <c r="ANZ86"/>
      <c r="AOA86"/>
      <c r="AOB86"/>
      <c r="AOC86"/>
      <c r="AOD86"/>
      <c r="AOE86"/>
      <c r="AOF86"/>
      <c r="AOG86"/>
      <c r="AOH86"/>
      <c r="AOI86"/>
      <c r="AOJ86"/>
      <c r="AOK86"/>
      <c r="AOL86"/>
      <c r="AOM86"/>
      <c r="AON86"/>
      <c r="AOO86"/>
      <c r="AOP86"/>
      <c r="AOQ86"/>
      <c r="AOR86"/>
      <c r="AOS86"/>
      <c r="AOT86"/>
      <c r="AOU86"/>
      <c r="AOV86"/>
      <c r="AOW86"/>
      <c r="AOX86"/>
      <c r="AOY86"/>
      <c r="AOZ86"/>
      <c r="APA86"/>
      <c r="APB86"/>
      <c r="APC86"/>
      <c r="APD86"/>
      <c r="APE86"/>
      <c r="APF86"/>
      <c r="APG86"/>
      <c r="APH86"/>
      <c r="API86"/>
      <c r="APJ86"/>
      <c r="APK86"/>
      <c r="APL86"/>
      <c r="APM86"/>
      <c r="APN86"/>
      <c r="APO86"/>
      <c r="APP86"/>
      <c r="APQ86"/>
      <c r="APR86"/>
      <c r="APS86"/>
      <c r="APT86"/>
      <c r="APU86"/>
      <c r="APV86"/>
      <c r="APW86"/>
      <c r="APX86"/>
      <c r="APY86"/>
      <c r="APZ86"/>
      <c r="AQA86"/>
      <c r="AQB86"/>
      <c r="AQC86"/>
      <c r="AQD86"/>
      <c r="AQE86"/>
      <c r="AQF86"/>
      <c r="AQG86"/>
      <c r="AQH86"/>
      <c r="AQI86"/>
      <c r="AQJ86"/>
      <c r="AQK86"/>
      <c r="AQL86"/>
      <c r="AQM86"/>
      <c r="AQN86"/>
      <c r="AQO86"/>
      <c r="AQP86"/>
      <c r="AQQ86"/>
      <c r="AQR86"/>
      <c r="AQS86"/>
      <c r="AQT86"/>
      <c r="AQU86"/>
      <c r="AQV86"/>
      <c r="AQW86"/>
      <c r="AQX86"/>
      <c r="AQY86"/>
      <c r="AQZ86"/>
      <c r="ARA86"/>
      <c r="ARB86"/>
      <c r="ARC86"/>
      <c r="ARD86"/>
      <c r="ARE86"/>
      <c r="ARF86"/>
      <c r="ARG86"/>
      <c r="ARH86"/>
      <c r="ARI86"/>
      <c r="ARJ86"/>
      <c r="ARK86"/>
      <c r="ARL86"/>
      <c r="ARM86"/>
      <c r="ARN86"/>
      <c r="ARO86"/>
      <c r="ARP86"/>
      <c r="ARQ86"/>
      <c r="ARR86"/>
      <c r="ARS86"/>
      <c r="ART86"/>
      <c r="ARU86"/>
      <c r="ARV86"/>
      <c r="ARW86"/>
      <c r="ARX86"/>
      <c r="ARY86"/>
      <c r="ARZ86"/>
      <c r="ASA86"/>
      <c r="ASB86"/>
      <c r="ASC86"/>
      <c r="ASD86"/>
      <c r="ASE86"/>
      <c r="ASF86"/>
      <c r="ASG86"/>
      <c r="ASH86"/>
      <c r="ASI86"/>
      <c r="ASJ86"/>
      <c r="ASK86"/>
      <c r="ASL86"/>
      <c r="ASM86"/>
      <c r="ASN86"/>
      <c r="ASO86"/>
      <c r="ASP86"/>
      <c r="ASQ86"/>
      <c r="ASR86"/>
      <c r="ASS86"/>
    </row>
    <row r="87" spans="1:1189" s="212" customFormat="1" hidden="1">
      <c r="A87" t="s">
        <v>474</v>
      </c>
      <c r="B87" s="369" t="s">
        <v>478</v>
      </c>
      <c r="C87" s="7" t="s">
        <v>482</v>
      </c>
      <c r="D87" s="7"/>
      <c r="E87" s="34" t="s">
        <v>549</v>
      </c>
      <c r="F87" s="7" t="s">
        <v>545</v>
      </c>
      <c r="G87" s="205"/>
      <c r="H87" s="150">
        <v>2</v>
      </c>
      <c r="I87" s="8"/>
      <c r="J87" s="8"/>
      <c r="K87" s="8"/>
      <c r="L87" s="34" t="s">
        <v>53</v>
      </c>
      <c r="M87" s="34"/>
      <c r="N87" s="7">
        <f>IFERROR(_xlfn.XLOOKUP(B87,Terméklista!B57:B158,Terméklista!H57:H158)," ")</f>
        <v>0</v>
      </c>
      <c r="O87" s="147" t="str">
        <f>IFERROR(ROUNDUP(Rendelés[[#This Row],[Amount/pc]]/_xlfn.XLOOKUP(B87,Terméklista!$B$2:$B$103,Terméklista!$M$2:$M$103,),0)," ")</f>
        <v xml:space="preserve"> </v>
      </c>
      <c r="P87" t="str">
        <f>IFERROR(ROUNDUP(Rendelés[[#This Row],[Dobozok száma]]/_xlfn.XLOOKUP(B87,Terméklista!$B$2:$B$103,Terméklista!$N$2:$N$103,),0)," ")</f>
        <v xml:space="preserve"> </v>
      </c>
      <c r="Q87" s="145" t="str">
        <f>IFERROR(Rendelés[[#This Row],[Szükséges anyagmennyiség]]+(Rendelés[[#This Row],[Össz raklapok száma]]*25),"")</f>
        <v/>
      </c>
      <c r="R87" s="144" cm="1">
        <f t="array" ref="R87">(H87*_xlfn.XLOOKUP(B87,Terméklista!$B$2:$B$103,Terméklista!F$2:$F$103,))/1000</f>
        <v>0</v>
      </c>
      <c r="S87" s="153" t="str">
        <f>IFERROR(((H87/_xlfn.XLOOKUP(B87,Terméklista!$B$2:$B$103,Terméklista!$E$2:$E$103)*_xlfn.XLOOKUP(B87,Terméklista!$B$2:$B$103,Terméklista!$I$2:$I$103)))/3600," ")</f>
        <v xml:space="preserve"> </v>
      </c>
      <c r="T87" t="s">
        <v>551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  <c r="AMK87"/>
      <c r="AML87"/>
      <c r="AMM87"/>
      <c r="AMN87"/>
      <c r="AMO87"/>
      <c r="AMP87"/>
      <c r="AMQ87"/>
      <c r="AMR87"/>
      <c r="AMS87"/>
      <c r="AMT87"/>
      <c r="AMU87"/>
      <c r="AMV87"/>
      <c r="AMW87"/>
      <c r="AMX87"/>
      <c r="AMY87"/>
      <c r="AMZ87"/>
      <c r="ANA87"/>
      <c r="ANB87"/>
      <c r="ANC87"/>
      <c r="AND87"/>
      <c r="ANE87"/>
      <c r="ANF87"/>
      <c r="ANG87"/>
      <c r="ANH87"/>
      <c r="ANI87"/>
      <c r="ANJ87"/>
      <c r="ANK87"/>
      <c r="ANL87"/>
      <c r="ANM87"/>
      <c r="ANN87"/>
      <c r="ANO87"/>
      <c r="ANP87"/>
      <c r="ANQ87"/>
      <c r="ANR87"/>
      <c r="ANS87"/>
      <c r="ANT87"/>
      <c r="ANU87"/>
      <c r="ANV87"/>
      <c r="ANW87"/>
      <c r="ANX87"/>
      <c r="ANY87"/>
      <c r="ANZ87"/>
      <c r="AOA87"/>
      <c r="AOB87"/>
      <c r="AOC87"/>
      <c r="AOD87"/>
      <c r="AOE87"/>
      <c r="AOF87"/>
      <c r="AOG87"/>
      <c r="AOH87"/>
      <c r="AOI87"/>
      <c r="AOJ87"/>
      <c r="AOK87"/>
      <c r="AOL87"/>
      <c r="AOM87"/>
      <c r="AON87"/>
      <c r="AOO87"/>
      <c r="AOP87"/>
      <c r="AOQ87"/>
      <c r="AOR87"/>
      <c r="AOS87"/>
      <c r="AOT87"/>
      <c r="AOU87"/>
      <c r="AOV87"/>
      <c r="AOW87"/>
      <c r="AOX87"/>
      <c r="AOY87"/>
      <c r="AOZ87"/>
      <c r="APA87"/>
      <c r="APB87"/>
      <c r="APC87"/>
      <c r="APD87"/>
      <c r="APE87"/>
      <c r="APF87"/>
      <c r="APG87"/>
      <c r="APH87"/>
      <c r="API87"/>
      <c r="APJ87"/>
      <c r="APK87"/>
      <c r="APL87"/>
      <c r="APM87"/>
      <c r="APN87"/>
      <c r="APO87"/>
      <c r="APP87"/>
      <c r="APQ87"/>
      <c r="APR87"/>
      <c r="APS87"/>
      <c r="APT87"/>
      <c r="APU87"/>
      <c r="APV87"/>
      <c r="APW87"/>
      <c r="APX87"/>
      <c r="APY87"/>
      <c r="APZ87"/>
      <c r="AQA87"/>
      <c r="AQB87"/>
      <c r="AQC87"/>
      <c r="AQD87"/>
      <c r="AQE87"/>
      <c r="AQF87"/>
      <c r="AQG87"/>
      <c r="AQH87"/>
      <c r="AQI87"/>
      <c r="AQJ87"/>
      <c r="AQK87"/>
      <c r="AQL87"/>
      <c r="AQM87"/>
      <c r="AQN87"/>
      <c r="AQO87"/>
      <c r="AQP87"/>
      <c r="AQQ87"/>
      <c r="AQR87"/>
      <c r="AQS87"/>
      <c r="AQT87"/>
      <c r="AQU87"/>
      <c r="AQV87"/>
      <c r="AQW87"/>
      <c r="AQX87"/>
      <c r="AQY87"/>
      <c r="AQZ87"/>
      <c r="ARA87"/>
      <c r="ARB87"/>
      <c r="ARC87"/>
      <c r="ARD87"/>
      <c r="ARE87"/>
      <c r="ARF87"/>
      <c r="ARG87"/>
      <c r="ARH87"/>
      <c r="ARI87"/>
      <c r="ARJ87"/>
      <c r="ARK87"/>
      <c r="ARL87"/>
      <c r="ARM87"/>
      <c r="ARN87"/>
      <c r="ARO87"/>
      <c r="ARP87"/>
      <c r="ARQ87"/>
      <c r="ARR87"/>
      <c r="ARS87"/>
      <c r="ART87"/>
      <c r="ARU87"/>
      <c r="ARV87"/>
      <c r="ARW87"/>
      <c r="ARX87"/>
      <c r="ARY87"/>
      <c r="ARZ87"/>
      <c r="ASA87"/>
      <c r="ASB87"/>
      <c r="ASC87"/>
      <c r="ASD87"/>
      <c r="ASE87"/>
      <c r="ASF87"/>
      <c r="ASG87"/>
      <c r="ASH87"/>
      <c r="ASI87"/>
      <c r="ASJ87"/>
      <c r="ASK87"/>
      <c r="ASL87"/>
      <c r="ASM87"/>
      <c r="ASN87"/>
      <c r="ASO87"/>
      <c r="ASP87"/>
      <c r="ASQ87"/>
      <c r="ASR87"/>
      <c r="ASS87"/>
    </row>
    <row r="88" spans="1:1189" hidden="1">
      <c r="A88" t="s">
        <v>474</v>
      </c>
      <c r="B88" s="369" t="s">
        <v>480</v>
      </c>
      <c r="C88" s="203" t="str">
        <f>IFERROR(_xlfn.XLOOKUP(B88,Terméklista!$B$2:$B$103,Terméklista!$C$2:$C$103,)," ")</f>
        <v>VTSZ: 7204</v>
      </c>
      <c r="E88" s="34" t="s">
        <v>518</v>
      </c>
      <c r="F88" s="203" t="str">
        <f>_xlfn.XLOOKUP(B88,Terméklista!$B$2:$B$103,Terméklista!$G$2:$G$103," ")</f>
        <v>Forgács</v>
      </c>
      <c r="H88" s="150">
        <v>5</v>
      </c>
      <c r="L88" s="34" t="s">
        <v>53</v>
      </c>
      <c r="N88" s="203">
        <f>_xlfn.XLOOKUP(J88,Terméklista!$B$2:$B$103,Terméklista!$H$2:$H$103," ")</f>
        <v>0</v>
      </c>
      <c r="O88" s="147" t="str">
        <f>IFERROR(ROUNDUP(Rendelés[[#This Row],[Amount/pc]]/_xlfn.XLOOKUP(B88,Terméklista!$B$2:$B$103,Terméklista!$M$2:$M$103,),0)," ")</f>
        <v xml:space="preserve"> </v>
      </c>
      <c r="P88" t="str">
        <f>IFERROR(ROUNDUP(Rendelés[[#This Row],[Dobozok száma]]/_xlfn.XLOOKUP(B88,Terméklista!$B$2:$B$103,Terméklista!$N$2:$N$103,),0)," ")</f>
        <v xml:space="preserve"> </v>
      </c>
      <c r="Q88" s="142" t="str">
        <f>IFERROR(Rendelés[[#This Row],[Szükséges anyagmennyiség]]+(Rendelés[[#This Row],[Össz raklapok száma]]*25),"")</f>
        <v/>
      </c>
      <c r="R88" s="144" cm="1">
        <f t="array" ref="R88">(H88*_xlfn.XLOOKUP(B88,Terméklista!$B$2:$B$103,Terméklista!F$2:$F$103,))/1000</f>
        <v>0</v>
      </c>
      <c r="S88" s="153" t="str">
        <f>IFERROR(((H88/_xlfn.XLOOKUP(B88,Terméklista!$B$2:$B$103,Terméklista!$E$2:$E$103)*_xlfn.XLOOKUP(B88,Terméklista!$B$2:$B$103,Terméklista!$I$2:$I$103)))/3600," ")</f>
        <v xml:space="preserve"> </v>
      </c>
      <c r="T88" t="s">
        <v>499</v>
      </c>
    </row>
    <row r="89" spans="1:1189" hidden="1">
      <c r="A89" t="s">
        <v>474</v>
      </c>
      <c r="B89" s="369" t="s">
        <v>480</v>
      </c>
      <c r="C89" s="7" t="s">
        <v>483</v>
      </c>
      <c r="E89" s="34" t="s">
        <v>550</v>
      </c>
      <c r="F89" s="7" t="s">
        <v>545</v>
      </c>
      <c r="H89" s="150">
        <v>3</v>
      </c>
      <c r="L89" s="34" t="s">
        <v>53</v>
      </c>
      <c r="N89" s="7">
        <f>IFERROR(_xlfn.XLOOKUP(B89,Terméklista!B58:B159,Terméklista!H58:H159)," ")</f>
        <v>0</v>
      </c>
      <c r="O89" s="147" t="str">
        <f>IFERROR(ROUNDUP(Rendelés[[#This Row],[Amount/pc]]/_xlfn.XLOOKUP(B89,Terméklista!$B$2:$B$103,Terméklista!$M$2:$M$103,),0)," ")</f>
        <v xml:space="preserve"> </v>
      </c>
      <c r="P89" t="str">
        <f>IFERROR(ROUNDUP(Rendelés[[#This Row],[Dobozok száma]]/_xlfn.XLOOKUP(B89,Terméklista!$B$2:$B$103,Terméklista!$N$2:$N$103,),0)," ")</f>
        <v xml:space="preserve"> </v>
      </c>
      <c r="Q89" s="145" t="str">
        <f>IFERROR(Rendelés[[#This Row],[Szükséges anyagmennyiség]]+(Rendelés[[#This Row],[Össz raklapok száma]]*25),"")</f>
        <v/>
      </c>
      <c r="R89" s="144" cm="1">
        <f t="array" ref="R89">(H89*_xlfn.XLOOKUP(B89,Terméklista!$B$2:$B$103,Terméklista!F$2:$F$103,))/1000</f>
        <v>0</v>
      </c>
      <c r="S89" s="153" t="str">
        <f>IFERROR(((H89/_xlfn.XLOOKUP(B89,Terméklista!$B$2:$B$103,Terméklista!$E$2:$E$103)*_xlfn.XLOOKUP(B89,Terméklista!$B$2:$B$103,Terméklista!$I$2:$I$103)))/3600," ")</f>
        <v xml:space="preserve"> </v>
      </c>
      <c r="T89" t="s">
        <v>551</v>
      </c>
    </row>
    <row r="90" spans="1:1189" hidden="1">
      <c r="A90" t="s">
        <v>474</v>
      </c>
      <c r="B90" s="34" t="s">
        <v>481</v>
      </c>
      <c r="C90" s="203" t="str">
        <f>IFERROR(_xlfn.XLOOKUP(B90,Terméklista!$B$2:$B$103,Terméklista!$C$2:$C$103,)," ")</f>
        <v>VTSZ: 7204</v>
      </c>
      <c r="E90" s="34" t="s">
        <v>491</v>
      </c>
      <c r="F90" s="203" t="str">
        <f>_xlfn.XLOOKUP(B90,Terméklista!$B$2:$B$103,Terméklista!$G$2:$G$103," ")</f>
        <v>Forgács</v>
      </c>
      <c r="H90" s="150">
        <v>4</v>
      </c>
      <c r="L90" s="34" t="s">
        <v>53</v>
      </c>
      <c r="N90" s="203">
        <f>_xlfn.XLOOKUP(J90,Terméklista!$B$2:$B$103,Terméklista!$H$2:$H$103," ")</f>
        <v>0</v>
      </c>
      <c r="O90" s="147" t="str">
        <f>IFERROR(ROUNDUP(Rendelés[[#This Row],[Amount/pc]]/_xlfn.XLOOKUP(B90,Terméklista!$B$2:$B$103,Terméklista!$M$2:$M$103,),0)," ")</f>
        <v xml:space="preserve"> </v>
      </c>
      <c r="P90" t="str">
        <f>IFERROR(ROUNDUP(Rendelés[[#This Row],[Dobozok száma]]/_xlfn.XLOOKUP(B90,Terméklista!$B$2:$B$103,Terméklista!$N$2:$N$103,),0)," ")</f>
        <v xml:space="preserve"> </v>
      </c>
      <c r="Q90" s="142" t="str">
        <f>IFERROR(Rendelés[[#This Row],[Szükséges anyagmennyiség]]+(Rendelés[[#This Row],[Össz raklapok száma]]*25),"")</f>
        <v/>
      </c>
      <c r="R90" s="144" cm="1">
        <f t="array" ref="R90">(H90*_xlfn.XLOOKUP(B90,Terméklista!$B$2:$B$103,Terméklista!F$2:$F$103,))/1000</f>
        <v>0</v>
      </c>
      <c r="S90" s="153" t="str">
        <f>IFERROR(((H90/_xlfn.XLOOKUP(B90,Terméklista!$B$2:$B$103,Terméklista!$E$2:$E$103)*_xlfn.XLOOKUP(B90,Terméklista!$B$2:$B$103,Terméklista!$I$2:$I$103)))/3600," ")</f>
        <v xml:space="preserve"> </v>
      </c>
      <c r="T90" t="s">
        <v>487</v>
      </c>
    </row>
    <row r="91" spans="1:1189" hidden="1">
      <c r="A91" t="s">
        <v>474</v>
      </c>
      <c r="B91" s="369" t="s">
        <v>504</v>
      </c>
      <c r="C91" s="203" t="str">
        <f>IFERROR(_xlfn.XLOOKUP(B91,Terméklista!$B$2:$B$103,Terméklista!$C$2:$C$103,)," ")</f>
        <v>VTSZ:7204</v>
      </c>
      <c r="E91" s="34" t="s">
        <v>520</v>
      </c>
      <c r="F91" s="203" t="str">
        <f>_xlfn.XLOOKUP(B91,Terméklista!$B$2:$B$103,Terméklista!$G$2:$G$103," ")</f>
        <v>Forgács</v>
      </c>
      <c r="H91" s="150">
        <v>1</v>
      </c>
      <c r="L91" s="34" t="s">
        <v>53</v>
      </c>
      <c r="N91" s="203">
        <f>IFERROR(_xlfn.XLOOKUP(B91,Terméklista!B46:B147,Terméklista!H46:H147)," ")</f>
        <v>0</v>
      </c>
      <c r="O91" s="147" t="str">
        <f>IFERROR(ROUNDUP(Rendelés[[#This Row],[Amount/pc]]/_xlfn.XLOOKUP(B91,Terméklista!$B$2:$B$103,Terméklista!$M$2:$M$103,),0)," ")</f>
        <v xml:space="preserve"> </v>
      </c>
      <c r="P91" t="str">
        <f>IFERROR(ROUNDUP(Rendelés[[#This Row],[Dobozok száma]]/_xlfn.XLOOKUP(B91,Terméklista!$B$2:$B$103,Terméklista!$N$2:$N$103,),0)," ")</f>
        <v xml:space="preserve"> </v>
      </c>
      <c r="Q91" s="142" t="str">
        <f>IFERROR(Rendelés[[#This Row],[Szükséges anyagmennyiség]]+(Rendelés[[#This Row],[Össz raklapok száma]]*25),"")</f>
        <v/>
      </c>
      <c r="R91" s="144" cm="1">
        <f t="array" ref="R91">(H91*_xlfn.XLOOKUP(B91,Terméklista!$B$2:$B$103,Terméklista!F$2:$F$103,))/1000</f>
        <v>0</v>
      </c>
      <c r="S91" s="153" t="str">
        <f>IFERROR(((H91/_xlfn.XLOOKUP(B91,Terméklista!$B$2:$B$103,Terméklista!$E$2:$E$103)*_xlfn.XLOOKUP(B91,Terméklista!$B$2:$B$103,Terméklista!$I$2:$I$103)))/3600," ")</f>
        <v xml:space="preserve"> </v>
      </c>
    </row>
    <row r="92" spans="1:1189" s="390" customFormat="1" hidden="1">
      <c r="A92" s="390" t="s">
        <v>156</v>
      </c>
      <c r="B92" s="391" t="s">
        <v>41</v>
      </c>
      <c r="C92" s="392">
        <f>IFERROR(_xlfn.XLOOKUP(B92,Terméklista!$B$2:$B$103,Terméklista!$C$2:$C$103,)," ")</f>
        <v>0</v>
      </c>
      <c r="D92" s="392"/>
      <c r="F92" s="392" t="str">
        <f>_xlfn.XLOOKUP(B92,Terméklista!B91:B192,Terméklista!G91:G192," ")</f>
        <v xml:space="preserve"> </v>
      </c>
      <c r="G92" s="393">
        <v>5947</v>
      </c>
      <c r="H92" s="394">
        <v>500</v>
      </c>
      <c r="I92" s="395" t="d">
        <v>2025-10-21</v>
      </c>
      <c r="J92" s="395" t="d">
        <v>2025-10-27</v>
      </c>
      <c r="K92" s="395"/>
      <c r="L92" s="396" t="s">
        <v>53</v>
      </c>
      <c r="M92" s="396"/>
      <c r="N92" s="392" t="str">
        <f>IFERROR(_xlfn.XLOOKUP(B92,Terméklista!B91:B192,Terméklista!H91:H192)," ")</f>
        <v xml:space="preserve"> </v>
      </c>
      <c r="O92" s="397" t="str">
        <f>IFERROR(ROUNDUP(Rendelés[[#This Row],[Amount/pc]]/_xlfn.XLOOKUP(B92,Terméklista!$B$2:$B$103,Terméklista!$M$2:$M$103,),0)," ")</f>
        <v xml:space="preserve"> </v>
      </c>
      <c r="P92" s="390" t="str">
        <f>IFERROR(ROUNDUP(Rendelés[[#This Row],[Dobozok száma]]/_xlfn.XLOOKUP(B92,Terméklista!$B$2:$B$103,Terméklista!$N$2:$N$103,),0)," ")</f>
        <v xml:space="preserve"> </v>
      </c>
      <c r="Q92" s="398" t="str">
        <f>IFERROR(Rendelés[[#This Row],[Szükséges anyagmennyiség]]+(Rendelés[[#This Row],[Össz raklapok száma]]*25),"")</f>
        <v/>
      </c>
      <c r="R92" s="399" cm="1">
        <f t="array" ref="R92">(H92*_xlfn.XLOOKUP(B92,Terméklista!$B$2:$B$103,Terméklista!F$2:$F$103,))/1000</f>
        <v>11.17</v>
      </c>
      <c r="S92" s="400">
        <f>IFERROR(((H92/_xlfn.XLOOKUP(B92,Terméklista!$B$2:$B$103,Terméklista!$E$2:$E$103)*_xlfn.XLOOKUP(B92,Terméklista!$B$2:$B$103,Terméklista!$I$2:$I$103)))/3600," ")</f>
        <v>1.0416666666666667</v>
      </c>
    </row>
    <row r="93" spans="1:1189" s="212" customFormat="1" hidden="1">
      <c r="A93" s="212" t="s">
        <v>180</v>
      </c>
      <c r="B93" s="368" t="s">
        <v>19</v>
      </c>
      <c r="C93" s="214" t="str">
        <f>IFERROR(_xlfn.XLOOKUP(B93,Terméklista!$B$2:$B$103,Terméklista!$C$2:$C$103,)," ")</f>
        <v>Zamak Gewicht</v>
      </c>
      <c r="D93" s="214" t="s">
        <v>501</v>
      </c>
      <c r="F93" s="214" t="str">
        <f>_xlfn.XLOOKUP(B93,Terméklista!B92:B193,Terméklista!G92:G193," ")</f>
        <v xml:space="preserve"> </v>
      </c>
      <c r="G93" s="215">
        <v>4500103801</v>
      </c>
      <c r="H93" s="216">
        <v>50000</v>
      </c>
      <c r="I93" s="217" t="d">
        <v>2025-11-03</v>
      </c>
      <c r="J93" s="217" t="d">
        <v>2026-01-15</v>
      </c>
      <c r="K93" s="217"/>
      <c r="L93" s="213" t="s">
        <v>53</v>
      </c>
      <c r="M93" s="213" t="s">
        <v>472</v>
      </c>
      <c r="N93" s="214" t="str">
        <f>IFERROR(_xlfn.XLOOKUP(B93,Terméklista!B92:B193,Terméklista!H92:H193)," ")</f>
        <v xml:space="preserve"> </v>
      </c>
      <c r="O93" s="218">
        <f>IFERROR(ROUNDUP(Rendelés[[#This Row],[Amount/pc]]/_xlfn.XLOOKUP(B93,Terméklista!$B$2:$B$103,Terméklista!$M$2:$M$103,),0)," ")</f>
        <v>143</v>
      </c>
      <c r="P93" s="212">
        <f>IFERROR(ROUNDUP(Rendelés[[#This Row],[Dobozok száma]]/_xlfn.XLOOKUP(B93,Terméklista!$B$2:$B$103,Terméklista!$N$2:$N$103,),0)," ")</f>
        <v>5</v>
      </c>
      <c r="Q93" s="219">
        <f>IFERROR(Rendelés[[#This Row],[Szükséges anyagmennyiség]]+(Rendelés[[#This Row],[Össz raklapok száma]]*25),"")</f>
        <v>1551</v>
      </c>
      <c r="R93" s="305" cm="1">
        <f t="array" ref="R93">(H93*_xlfn.XLOOKUP(B93,Terméklista!$B$2:$B$103,Terméklista!F$2:$F$103,))/1000</f>
        <v>1426</v>
      </c>
      <c r="S93" s="220">
        <f>IFERROR(((H93/_xlfn.XLOOKUP(B93,Terméklista!$B$2:$B$103,Terméklista!$E$2:$E$103)*_xlfn.XLOOKUP(B93,Terméklista!$B$2:$B$103,Terméklista!$I$2:$I$103)))/3600," ")</f>
        <v>69.444444444444443</v>
      </c>
      <c r="T93" s="212" t="s">
        <v>690</v>
      </c>
    </row>
    <row r="94" spans="1:1189" s="212" customFormat="1" hidden="1">
      <c r="A94" s="212" t="s">
        <v>156</v>
      </c>
      <c r="B94" s="368" t="s">
        <v>114</v>
      </c>
      <c r="C94" s="214" t="str">
        <f>IFERROR(_xlfn.XLOOKUP(B94,Terméklista!$B$2:$B$103,Terméklista!$C$2:$C$103,)," ")</f>
        <v>kereszt kulcs</v>
      </c>
      <c r="D94" s="214" t="s">
        <v>680</v>
      </c>
      <c r="F94" s="214" t="str">
        <f>_xlfn.XLOOKUP(B94,Terméklista!B93:B194,Terméklista!G93:G194," ")</f>
        <v xml:space="preserve"> </v>
      </c>
      <c r="G94" s="215">
        <v>5966</v>
      </c>
      <c r="H94" s="216">
        <v>470</v>
      </c>
      <c r="I94" s="217" t="d">
        <v>2025-11-05</v>
      </c>
      <c r="J94" s="217" t="d">
        <v>2025-11-11</v>
      </c>
      <c r="K94" s="217"/>
      <c r="L94" s="213" t="s">
        <v>53</v>
      </c>
      <c r="M94" s="213"/>
      <c r="N94" s="214" t="str">
        <f>IFERROR(_xlfn.XLOOKUP(B94,Terméklista!B93:B194,Terméklista!H93:H194)," ")</f>
        <v xml:space="preserve"> </v>
      </c>
      <c r="O94" s="218" t="str">
        <f>IFERROR(ROUNDUP(Rendelés[[#This Row],[Amount/pc]]/_xlfn.XLOOKUP(B94,Terméklista!$B$2:$B$103,Terméklista!$M$2:$M$103,),0)," ")</f>
        <v xml:space="preserve"> </v>
      </c>
      <c r="P94" s="212" t="str">
        <f>IFERROR(ROUNDUP(Rendelés[[#This Row],[Dobozok száma]]/_xlfn.XLOOKUP(B94,Terméklista!$B$2:$B$103,Terméklista!$N$2:$N$103,),0)," ")</f>
        <v xml:space="preserve"> </v>
      </c>
      <c r="Q94" s="219" t="str">
        <f>IFERROR(Rendelés[[#This Row],[Szükséges anyagmennyiség]]+(Rendelés[[#This Row],[Össz raklapok száma]]*25),"")</f>
        <v/>
      </c>
      <c r="R94" s="305" cm="1">
        <f t="array" ref="R94">(H94*_xlfn.XLOOKUP(B94,Terméklista!$B$2:$B$103,Terméklista!F$2:$F$103,))/1000</f>
        <v>28.623000000000001</v>
      </c>
      <c r="S94" s="220">
        <f>IFERROR(((H94/_xlfn.XLOOKUP(B94,Terméklista!$B$2:$B$103,Terméklista!$E$2:$E$103)*_xlfn.XLOOKUP(B94,Terméklista!$B$2:$B$103,Terméklista!$I$2:$I$103)))/3600," ")</f>
        <v>1.9583333333333333</v>
      </c>
      <c r="T94" s="212" t="s">
        <v>681</v>
      </c>
    </row>
    <row r="95" spans="1:1189" s="212" customFormat="1" hidden="1">
      <c r="A95" s="212" t="s">
        <v>474</v>
      </c>
      <c r="B95" s="368" t="s">
        <v>479</v>
      </c>
      <c r="C95" s="214"/>
      <c r="D95" s="214"/>
      <c r="E95" s="212" t="s">
        <v>683</v>
      </c>
      <c r="F95" s="214" t="s">
        <v>545</v>
      </c>
      <c r="G95" s="215"/>
      <c r="H95" s="216">
        <v>1</v>
      </c>
      <c r="I95" s="217"/>
      <c r="J95" s="217"/>
      <c r="K95" s="217"/>
      <c r="L95" s="213" t="s">
        <v>53</v>
      </c>
      <c r="M95" s="213"/>
      <c r="N95" s="214" t="str">
        <f>IFERROR(_xlfn.XLOOKUP(B95,Terméklista!B94:B195,Terméklista!H94:H195)," ")</f>
        <v xml:space="preserve"> </v>
      </c>
      <c r="O95" s="218" t="str">
        <f>IFERROR(ROUNDUP(Rendelés[[#This Row],[Amount/pc]]/_xlfn.XLOOKUP(B95,Terméklista!$B$2:$B$103,Terméklista!$M$2:$M$103,),0)," ")</f>
        <v xml:space="preserve"> </v>
      </c>
      <c r="P95" s="212" t="str">
        <f>IFERROR(ROUNDUP(Rendelés[[#This Row],[Dobozok száma]]/_xlfn.XLOOKUP(B95,Terméklista!$B$2:$B$103,Terméklista!$N$2:$N$103,),0)," ")</f>
        <v xml:space="preserve"> </v>
      </c>
      <c r="Q95" s="219" t="str">
        <f>IFERROR(Rendelés[[#This Row],[Szükséges anyagmennyiség]]+(Rendelés[[#This Row],[Össz raklapok száma]]*25),"")</f>
        <v/>
      </c>
      <c r="R95" s="305" cm="1">
        <f t="array" ref="R95">(H95*_xlfn.XLOOKUP(B95,Terméklista!$B$2:$B$103,Terméklista!F$2:$F$103,))/1000</f>
        <v>0</v>
      </c>
      <c r="S95" s="220" t="str">
        <f>IFERROR(((H95/_xlfn.XLOOKUP(B95,Terméklista!$B$2:$B$103,Terméklista!$E$2:$E$103)*_xlfn.XLOOKUP(B95,Terméklista!$B$2:$B$103,Terméklista!$I$2:$I$103)))/3600," ")</f>
        <v xml:space="preserve"> </v>
      </c>
      <c r="T95" s="212" t="s">
        <v>686</v>
      </c>
    </row>
    <row r="96" spans="1:1189" s="212" customFormat="1" hidden="1">
      <c r="A96" s="212" t="s">
        <v>474</v>
      </c>
      <c r="B96" s="368" t="s">
        <v>478</v>
      </c>
      <c r="C96" s="214"/>
      <c r="D96" s="214"/>
      <c r="E96" s="212" t="s">
        <v>684</v>
      </c>
      <c r="F96" s="214" t="s">
        <v>545</v>
      </c>
      <c r="G96" s="215"/>
      <c r="H96" s="216">
        <v>2</v>
      </c>
      <c r="I96" s="217"/>
      <c r="J96" s="217"/>
      <c r="K96" s="217"/>
      <c r="L96" s="213" t="s">
        <v>53</v>
      </c>
      <c r="M96" s="213"/>
      <c r="N96" s="214" t="str">
        <f>IFERROR(_xlfn.XLOOKUP(B96,Terméklista!B95:B196,Terméklista!H95:H196)," ")</f>
        <v xml:space="preserve"> </v>
      </c>
      <c r="O96" s="218" t="str">
        <f>IFERROR(ROUNDUP(Rendelés[[#This Row],[Amount/pc]]/_xlfn.XLOOKUP(B96,Terméklista!$B$2:$B$103,Terméklista!$M$2:$M$103,),0)," ")</f>
        <v xml:space="preserve"> </v>
      </c>
      <c r="P96" s="212" t="str">
        <f>IFERROR(ROUNDUP(Rendelés[[#This Row],[Dobozok száma]]/_xlfn.XLOOKUP(B96,Terméklista!$B$2:$B$103,Terméklista!$N$2:$N$103,),0)," ")</f>
        <v xml:space="preserve"> </v>
      </c>
      <c r="Q96" s="219" t="str">
        <f>IFERROR(Rendelés[[#This Row],[Szükséges anyagmennyiség]]+(Rendelés[[#This Row],[Össz raklapok száma]]*25),"")</f>
        <v/>
      </c>
      <c r="R96" s="305" cm="1">
        <f t="array" ref="R96">(H96*_xlfn.XLOOKUP(B96,Terméklista!$B$2:$B$103,Terméklista!F$2:$F$103,))/1000</f>
        <v>0</v>
      </c>
      <c r="S96" s="220" t="str">
        <f>IFERROR(((H96/_xlfn.XLOOKUP(B96,Terméklista!$B$2:$B$103,Terméklista!$E$2:$E$103)*_xlfn.XLOOKUP(B96,Terméklista!$B$2:$B$103,Terméklista!$I$2:$I$103)))/3600," ")</f>
        <v xml:space="preserve"> </v>
      </c>
      <c r="T96" s="388" t="s">
        <v>688</v>
      </c>
    </row>
    <row r="97" spans="1:21" s="212" customFormat="1" hidden="1">
      <c r="A97" s="212" t="s">
        <v>474</v>
      </c>
      <c r="B97" s="368" t="s">
        <v>480</v>
      </c>
      <c r="C97" s="214"/>
      <c r="D97" s="214"/>
      <c r="E97" s="212" t="s">
        <v>685</v>
      </c>
      <c r="F97" s="214" t="s">
        <v>545</v>
      </c>
      <c r="G97" s="215"/>
      <c r="H97" s="216">
        <v>4</v>
      </c>
      <c r="I97" s="217"/>
      <c r="J97" s="217"/>
      <c r="K97" s="217"/>
      <c r="L97" s="213" t="s">
        <v>53</v>
      </c>
      <c r="M97" s="213"/>
      <c r="N97" s="214" t="str">
        <f>IFERROR(_xlfn.XLOOKUP(B97,Terméklista!B96:B197,Terméklista!H96:H197)," ")</f>
        <v xml:space="preserve"> </v>
      </c>
      <c r="O97" s="218" t="str">
        <f>IFERROR(ROUNDUP(Rendelés[[#This Row],[Amount/pc]]/_xlfn.XLOOKUP(B97,Terméklista!$B$2:$B$103,Terméklista!$M$2:$M$103,),0)," ")</f>
        <v xml:space="preserve"> </v>
      </c>
      <c r="P97" s="212" t="str">
        <f>IFERROR(ROUNDUP(Rendelés[[#This Row],[Dobozok száma]]/_xlfn.XLOOKUP(B97,Terméklista!$B$2:$B$103,Terméklista!$N$2:$N$103,),0)," ")</f>
        <v xml:space="preserve"> </v>
      </c>
      <c r="Q97" s="219" t="str">
        <f>IFERROR(Rendelés[[#This Row],[Szükséges anyagmennyiség]]+(Rendelés[[#This Row],[Össz raklapok száma]]*25),"")</f>
        <v/>
      </c>
      <c r="R97" s="305" cm="1">
        <f t="array" ref="R97">(H97*_xlfn.XLOOKUP(B97,Terméklista!$B$2:$B$103,Terméklista!F$2:$F$103,))/1000</f>
        <v>0</v>
      </c>
      <c r="S97" s="220" t="str">
        <f>IFERROR(((H97/_xlfn.XLOOKUP(B97,Terméklista!$B$2:$B$103,Terméklista!$E$2:$E$103)*_xlfn.XLOOKUP(B97,Terméklista!$B$2:$B$103,Terméklista!$I$2:$I$103)))/3600," ")</f>
        <v xml:space="preserve"> </v>
      </c>
      <c r="T97" s="388" t="s">
        <v>688</v>
      </c>
    </row>
    <row r="98" spans="1:21" s="212" customFormat="1" hidden="1">
      <c r="A98" s="212" t="s">
        <v>180</v>
      </c>
      <c r="B98" s="368" t="s">
        <v>17</v>
      </c>
      <c r="C98" s="214" t="str">
        <f>IFERROR(_xlfn.XLOOKUP(B98,Terméklista!$B$2:$B$103,Terméklista!$C$2:$C$103,)," ")</f>
        <v>Zamak Gewicht</v>
      </c>
      <c r="D98" s="214" t="s">
        <v>501</v>
      </c>
      <c r="F98" s="214" t="str">
        <f>_xlfn.XLOOKUP(B98,Terméklista!B97:B198,Terméklista!G97:G198," ")</f>
        <v xml:space="preserve"> </v>
      </c>
      <c r="G98" s="215">
        <v>4500104015</v>
      </c>
      <c r="H98" s="216">
        <v>100000</v>
      </c>
      <c r="I98" s="217" t="d">
        <v>2025-11-17</v>
      </c>
      <c r="J98" s="217" t="d">
        <v>2026-02-09</v>
      </c>
      <c r="K98" s="217" t="d">
        <v>2026-02-10</v>
      </c>
      <c r="L98" s="213" t="s">
        <v>53</v>
      </c>
      <c r="M98" s="213" t="s">
        <v>472</v>
      </c>
      <c r="N98" s="214" t="str">
        <f>IFERROR(_xlfn.XLOOKUP(B98,Terméklista!B97:B198,Terméklista!H97:H198)," ")</f>
        <v xml:space="preserve"> </v>
      </c>
      <c r="O98" s="218">
        <f>IFERROR(ROUNDUP(Rendelés[[#This Row],[Amount/pc]]/_xlfn.XLOOKUP(B98,Terméklista!$B$2:$B$103,Terméklista!$M$2:$M$103,),0)," ")</f>
        <v>286</v>
      </c>
      <c r="P98" s="212">
        <f>IFERROR(ROUNDUP(Rendelés[[#This Row],[Dobozok száma]]/_xlfn.XLOOKUP(B98,Terméklista!$B$2:$B$103,Terméklista!$N$2:$N$103,),0)," ")</f>
        <v>4</v>
      </c>
      <c r="Q98" s="219">
        <f>IFERROR(Rendelés[[#This Row],[Szükséges anyagmennyiség]]+(Rendelés[[#This Row],[Össz raklapok száma]]*25),"")</f>
        <v>1800</v>
      </c>
      <c r="R98" s="305" cm="1">
        <f t="array" ref="R98">(H98*_xlfn.XLOOKUP(B98,Terméklista!$B$2:$B$103,Terméklista!F$2:$F$103,))/1000</f>
        <v>1700</v>
      </c>
      <c r="S98" s="220">
        <f>IFERROR(((H98/_xlfn.XLOOKUP(B98,Terméklista!$B$2:$B$103,Terméklista!$E$2:$E$103)*_xlfn.XLOOKUP(B98,Terméklista!$B$2:$B$103,Terméklista!$I$2:$I$103)))/3600," ")</f>
        <v>69.444444444444443</v>
      </c>
      <c r="T98" s="212" t="s">
        <v>712</v>
      </c>
      <c r="U98" s="212" t="s">
        <v>705</v>
      </c>
    </row>
    <row r="99" spans="1:21">
      <c r="A99" t="s">
        <v>180</v>
      </c>
      <c r="B99" s="369" t="s">
        <v>16</v>
      </c>
      <c r="C99" s="203" t="str">
        <f>IFERROR(_xlfn.XLOOKUP(B99,Terméklista!$B$2:$B$103,Terméklista!$C$2:$C$103,)," ")</f>
        <v>Zamak Gewicht</v>
      </c>
      <c r="D99" s="7" t="s">
        <v>501</v>
      </c>
      <c r="F99" s="203" t="str">
        <f>_xlfn.XLOOKUP(B99,Terméklista!B98:B199,Terméklista!G98:G199," ")</f>
        <v xml:space="preserve"> </v>
      </c>
      <c r="G99" s="205">
        <v>4500104126</v>
      </c>
      <c r="H99" s="150">
        <v>200000</v>
      </c>
      <c r="I99" s="8" t="d">
        <v>2025-11-25</v>
      </c>
      <c r="J99" s="8" t="d">
        <v>2026-03-09</v>
      </c>
      <c r="N99" s="7" t="str">
        <f>IFERROR(_xlfn.XLOOKUP(B99,Terméklista!B98:B199,Terméklista!H98:H199)," ")</f>
        <v xml:space="preserve"> </v>
      </c>
      <c r="O99" s="147">
        <f>IFERROR(ROUNDUP(Rendelés[[#This Row],[Amount/pc]]/_xlfn.XLOOKUP(B99,Terméklista!$B$2:$B$103,Terméklista!$M$2:$M$103,),0)," ")</f>
        <v>400</v>
      </c>
      <c r="P99">
        <f>IFERROR(ROUNDUP(Rendelés[[#This Row],[Dobozok száma]]/_xlfn.XLOOKUP(B99,Terméklista!$B$2:$B$103,Terméklista!$N$2:$N$103,),0)," ")</f>
        <v>5</v>
      </c>
      <c r="Q99" s="142">
        <f>IFERROR(Rendelés[[#This Row],[Szükséges anyagmennyiség]]+(Rendelés[[#This Row],[Össz raklapok száma]]*25),"")</f>
        <v>2225</v>
      </c>
      <c r="R99" s="144" cm="1">
        <f t="array" ref="R99">(H99*_xlfn.XLOOKUP(B99,Terméklista!$B$2:$B$103,Terméklista!F$2:$F$103,))/1000</f>
        <v>2100</v>
      </c>
      <c r="S99" s="153">
        <f>IFERROR(((H99/_xlfn.XLOOKUP(B99,Terméklista!$B$2:$B$103,Terméklista!$E$2:$E$103)*_xlfn.XLOOKUP(B99,Terméklista!$B$2:$B$103,Terméklista!$I$2:$I$103)))/3600," ")</f>
        <v>138.88888888888889</v>
      </c>
      <c r="U99" s="409" t="s">
        <v>706</v>
      </c>
    </row>
    <row r="100" spans="1:21">
      <c r="A100" t="s">
        <v>180</v>
      </c>
      <c r="B100" s="369" t="s">
        <v>16</v>
      </c>
      <c r="C100" s="203" t="str">
        <f>IFERROR(_xlfn.XLOOKUP(B100,Terméklista!$B$2:$B$103,Terméklista!$C$2:$C$103,)," ")</f>
        <v>Zamak Gewicht</v>
      </c>
      <c r="D100" s="7" t="s">
        <v>501</v>
      </c>
      <c r="F100" s="203" t="str">
        <f>_xlfn.XLOOKUP(B100,Terméklista!B99:B200,Terméklista!G99:G200," ")</f>
        <v xml:space="preserve"> </v>
      </c>
      <c r="G100" s="205">
        <v>4500104215</v>
      </c>
      <c r="H100" s="150">
        <v>250000</v>
      </c>
      <c r="I100" s="8" t="d">
        <v>2025-12-02</v>
      </c>
      <c r="J100" s="8" t="d">
        <v>2026-03-16</v>
      </c>
      <c r="N100" s="7" t="str">
        <f>IFERROR(_xlfn.XLOOKUP(B100,Terméklista!B99:B200,Terméklista!H99:H200)," ")</f>
        <v xml:space="preserve"> </v>
      </c>
      <c r="O100" s="147">
        <f>IFERROR(ROUNDUP(Rendelés[[#This Row],[Amount/pc]]/_xlfn.XLOOKUP(B100,Terméklista!$B$2:$B$103,Terméklista!$M$2:$M$103,),0)," ")</f>
        <v>500</v>
      </c>
      <c r="P100">
        <f>IFERROR(ROUNDUP(Rendelés[[#This Row],[Dobozok száma]]/_xlfn.XLOOKUP(B100,Terméklista!$B$2:$B$103,Terméklista!$N$2:$N$103,),0)," ")</f>
        <v>6</v>
      </c>
      <c r="Q100" s="142">
        <f>IFERROR(Rendelés[[#This Row],[Szükséges anyagmennyiség]]+(Rendelés[[#This Row],[Össz raklapok száma]]*25),"")</f>
        <v>2775</v>
      </c>
      <c r="R100" s="144" cm="1">
        <f t="array" ref="R100">(H100*_xlfn.XLOOKUP(B100,Terméklista!$B$2:$B$103,Terméklista!F$2:$F$103,))/1000</f>
        <v>2625</v>
      </c>
      <c r="S100" s="153">
        <f>IFERROR(((H100/_xlfn.XLOOKUP(B100,Terméklista!$B$2:$B$103,Terméklista!$E$2:$E$103)*_xlfn.XLOOKUP(B100,Terméklista!$B$2:$B$103,Terméklista!$I$2:$I$103)))/3600," ")</f>
        <v>173.61111111111111</v>
      </c>
      <c r="U100" s="410" t="s">
        <v>707</v>
      </c>
    </row>
    <row r="101" spans="1:21" s="212" customFormat="1" hidden="1">
      <c r="A101" s="212" t="s">
        <v>180</v>
      </c>
      <c r="B101" s="368" t="s">
        <v>50</v>
      </c>
      <c r="C101" s="214" t="str">
        <f>IFERROR(_xlfn.XLOOKUP(B101,Terméklista!$B$2:$B$103,Terméklista!$C$2:$C$103,)," ")</f>
        <v>Zamak Gewicht</v>
      </c>
      <c r="D101" s="214" t="s">
        <v>501</v>
      </c>
      <c r="F101" s="214" t="str">
        <f>_xlfn.XLOOKUP(B101,Terméklista!B101:B201,Terméklista!G101:G201," ")</f>
        <v xml:space="preserve"> </v>
      </c>
      <c r="G101" s="215">
        <v>4500104347</v>
      </c>
      <c r="H101" s="216">
        <v>33750</v>
      </c>
      <c r="I101" s="217" t="d">
        <v>2025-12-11</v>
      </c>
      <c r="J101" s="217" t="d">
        <v>2026-02-25</v>
      </c>
      <c r="K101" s="217" t="d">
        <v>2026-02-24</v>
      </c>
      <c r="L101" s="213" t="s">
        <v>53</v>
      </c>
      <c r="M101" s="213" t="s">
        <v>714</v>
      </c>
      <c r="N101" s="214" t="str">
        <f>IFERROR(_xlfn.XLOOKUP(B101,Terméklista!B101:B201,Terméklista!H101:H201)," ")</f>
        <v xml:space="preserve"> </v>
      </c>
      <c r="O101" s="218">
        <f>IFERROR(ROUNDUP(Rendelés[[#This Row],[Amount/pc]]/_xlfn.XLOOKUP(B101,Terméklista!$B$2:$B$103,Terméklista!$M$2:$M$103,),0)," ")</f>
        <v>225</v>
      </c>
      <c r="P101" s="212">
        <f>IFERROR(ROUNDUP(Rendelés[[#This Row],[Dobozok száma]]/_xlfn.XLOOKUP(B101,Terméklista!$B$2:$B$103,Terméklista!$N$2:$N$103,),0)," ")</f>
        <v>8</v>
      </c>
      <c r="Q101" s="219">
        <f>IFERROR(Rendelés[[#This Row],[Szükséges anyagmennyiség]]+(Rendelés[[#This Row],[Össz raklapok száma]]*25),"")</f>
        <v>2403.875</v>
      </c>
      <c r="R101" s="305" cm="1">
        <f t="array" ref="R101">(H101*_xlfn.XLOOKUP(B101,Terméklista!$B$2:$B$103,Terméklista!F$2:$F$103,))/1000</f>
        <v>2203.875</v>
      </c>
      <c r="S101" s="220">
        <f>IFERROR(((H101/_xlfn.XLOOKUP(B101,Terméklista!$B$2:$B$103,Terméklista!$E$2:$E$103)*_xlfn.XLOOKUP(B101,Terméklista!$B$2:$B$103,Terméklista!$I$2:$I$103)))/3600," ")</f>
        <v>46.875</v>
      </c>
      <c r="T101" s="212" t="s">
        <v>721</v>
      </c>
      <c r="U101" s="212" t="s">
        <v>708</v>
      </c>
    </row>
    <row r="102" spans="1:21" hidden="1">
      <c r="A102" t="s">
        <v>180</v>
      </c>
      <c r="B102" s="369" t="s">
        <v>17</v>
      </c>
      <c r="C102" s="203" t="str">
        <f>IFERROR(_xlfn.XLOOKUP(B102,Terméklista!$B$2:$B$103,Terméklista!$C$2:$C$103,)," ")</f>
        <v>Zamak Gewicht</v>
      </c>
      <c r="D102" s="7" t="s">
        <v>674</v>
      </c>
      <c r="F102" s="203" t="str">
        <f>_xlfn.XLOOKUP(B102,Terméklista!B102:B202,Terméklista!G102:G202," ")</f>
        <v xml:space="preserve"> </v>
      </c>
      <c r="G102" s="205">
        <v>4500104347</v>
      </c>
      <c r="H102" s="150">
        <v>50000</v>
      </c>
      <c r="I102" s="8" t="d">
        <v>2025-12-11</v>
      </c>
      <c r="J102" s="8" t="d">
        <v>2026-02-25</v>
      </c>
      <c r="K102" s="8" t="d">
        <v>2026-02-24</v>
      </c>
      <c r="L102" s="34" t="s">
        <v>53</v>
      </c>
      <c r="M102" s="34" t="s">
        <v>714</v>
      </c>
      <c r="N102" s="7" t="str">
        <f>IFERROR(_xlfn.XLOOKUP(B102,Terméklista!B102:B202,Terméklista!H102:H202)," ")</f>
        <v xml:space="preserve"> </v>
      </c>
      <c r="O102" s="147">
        <f>IFERROR(ROUNDUP(Rendelés[[#This Row],[Amount/pc]]/_xlfn.XLOOKUP(B102,Terméklista!$B$2:$B$103,Terméklista!$M$2:$M$103,),0)," ")</f>
        <v>143</v>
      </c>
      <c r="P102">
        <f>IFERROR(ROUNDUP(Rendelés[[#This Row],[Dobozok száma]]/_xlfn.XLOOKUP(B102,Terméklista!$B$2:$B$103,Terméklista!$N$2:$N$103,),0)," ")</f>
        <v>2</v>
      </c>
      <c r="Q102" s="142">
        <f>IFERROR(Rendelés[[#This Row],[Szükséges anyagmennyiség]]+(Rendelés[[#This Row],[Össz raklapok száma]]*25),"")</f>
        <v>900</v>
      </c>
      <c r="R102" s="144" cm="1">
        <f t="array" ref="R102">(H102*_xlfn.XLOOKUP(B102,Terméklista!$B$2:$B$103,Terméklista!F$2:$F$103,))/1000</f>
        <v>850</v>
      </c>
      <c r="S102" s="153">
        <f>IFERROR(((H102/_xlfn.XLOOKUP(B102,Terméklista!$B$2:$B$103,Terméklista!$E$2:$E$103)*_xlfn.XLOOKUP(B102,Terméklista!$B$2:$B$103,Terméklista!$I$2:$I$103)))/3600," ")</f>
        <v>34.722222222222221</v>
      </c>
      <c r="T102" t="s">
        <v>721</v>
      </c>
      <c r="U102" s="409" t="s">
        <v>715</v>
      </c>
    </row>
    <row r="103" spans="1:21" s="212" customFormat="1" hidden="1">
      <c r="A103" s="212" t="s">
        <v>180</v>
      </c>
      <c r="B103" s="368" t="s">
        <v>43</v>
      </c>
      <c r="C103" s="214" t="str">
        <f>IFERROR(_xlfn.XLOOKUP(B103,Terméklista!$B$2:$B$103,Terméklista!$C$2:$C$103,)," ")</f>
        <v>Zamak Gewicht</v>
      </c>
      <c r="D103" s="214" t="s">
        <v>675</v>
      </c>
      <c r="F103" s="214" t="str">
        <f>_xlfn.XLOOKUP(B103,Terméklista!B103:B203,Terméklista!G103:G203," ")</f>
        <v xml:space="preserve"> </v>
      </c>
      <c r="G103" s="215">
        <v>4500104347</v>
      </c>
      <c r="H103" s="216">
        <v>80000</v>
      </c>
      <c r="I103" s="217" t="d">
        <v>2025-12-11</v>
      </c>
      <c r="J103" s="217" t="d">
        <v>2026-02-25</v>
      </c>
      <c r="K103" s="217" t="d">
        <v>2026-02-24</v>
      </c>
      <c r="L103" s="213" t="s">
        <v>53</v>
      </c>
      <c r="M103" s="213" t="s">
        <v>714</v>
      </c>
      <c r="N103" s="214" t="str">
        <f>IFERROR(_xlfn.XLOOKUP(B103,Terméklista!B103:B203,Terméklista!H103:H203)," ")</f>
        <v xml:space="preserve"> </v>
      </c>
      <c r="O103" s="218">
        <f>IFERROR(ROUNDUP(Rendelés[[#This Row],[Amount/pc]]/_xlfn.XLOOKUP(B103,Terméklista!$B$2:$B$103,Terméklista!$M$2:$M$103,),0)," ")</f>
        <v>80</v>
      </c>
      <c r="P103" s="212">
        <f>IFERROR(ROUNDUP(Rendelés[[#This Row],[Dobozok száma]]/_xlfn.XLOOKUP(B103,Terméklista!$B$2:$B$103,Terméklista!$N$2:$N$103,),0)," ")</f>
        <v>1</v>
      </c>
      <c r="Q103" s="219">
        <f>IFERROR(Rendelés[[#This Row],[Szükséges anyagmennyiség]]+(Rendelés[[#This Row],[Össz raklapok száma]]*25),"")</f>
        <v>665</v>
      </c>
      <c r="R103" s="305" cm="1">
        <f t="array" ref="R103">(H103*_xlfn.XLOOKUP(B103,Terméklista!$B$2:$B$103,Terméklista!F$2:$F$103,))/1000</f>
        <v>640</v>
      </c>
      <c r="S103" s="220">
        <f>IFERROR(((H103/_xlfn.XLOOKUP(B103,Terméklista!$B$2:$B$103,Terméklista!$E$2:$E$103)*_xlfn.XLOOKUP(B103,Terméklista!$B$2:$B$103,Terméklista!$I$2:$I$103)))/3600," ")</f>
        <v>27.777777777777779</v>
      </c>
      <c r="T103" s="212" t="s">
        <v>721</v>
      </c>
      <c r="U103" s="212" t="s">
        <v>708</v>
      </c>
    </row>
    <row r="104" spans="1:21" s="212" customFormat="1" hidden="1">
      <c r="A104" s="212" t="s">
        <v>156</v>
      </c>
      <c r="B104" s="368" t="s">
        <v>116</v>
      </c>
      <c r="C104" s="214" t="str">
        <f>IFERROR(_xlfn.XLOOKUP(B104,Terméklista!$B$2:$B$103,Terméklista!$C$2:$C$103,)," ")</f>
        <v>nagykulcs - 3mm</v>
      </c>
      <c r="D104" s="214"/>
      <c r="F104" s="214" t="str">
        <f>_xlfn.XLOOKUP(B104,Terméklista!B104:B204,Terméklista!G104:G204," ")</f>
        <v xml:space="preserve"> </v>
      </c>
      <c r="G104" s="215">
        <v>6047</v>
      </c>
      <c r="H104" s="216">
        <v>1000</v>
      </c>
      <c r="I104" s="217" t="d">
        <v>2026-01-14</v>
      </c>
      <c r="J104" s="217" t="d">
        <v>2026-02-02</v>
      </c>
      <c r="K104" s="217" t="d">
        <v>2026-02-11</v>
      </c>
      <c r="L104" s="213" t="s">
        <v>53</v>
      </c>
      <c r="M104" s="213" t="s">
        <v>472</v>
      </c>
      <c r="N104" s="214" t="str">
        <f>IFERROR(_xlfn.XLOOKUP(B104,Terméklista!B104:B204,Terméklista!H104:H204)," ")</f>
        <v xml:space="preserve"> </v>
      </c>
      <c r="O104" s="218" t="str">
        <f>IFERROR(ROUNDUP(Rendelés[[#This Row],[Amount/pc]]/_xlfn.XLOOKUP(B104,Terméklista!$B$2:$B$103,Terméklista!$M$2:$M$103,),0)," ")</f>
        <v xml:space="preserve"> </v>
      </c>
      <c r="P104" s="212" t="str">
        <f>IFERROR(ROUNDUP(Rendelés[[#This Row],[Dobozok száma]]/_xlfn.XLOOKUP(B104,Terméklista!$B$2:$B$103,Terméklista!$N$2:$N$103,),0)," ")</f>
        <v xml:space="preserve"> </v>
      </c>
      <c r="Q104" s="219" t="str">
        <f>IFERROR(Rendelés[[#This Row],[Szükséges anyagmennyiség]]+(Rendelés[[#This Row],[Össz raklapok száma]]*25),"")</f>
        <v/>
      </c>
      <c r="R104" s="305" cm="1">
        <f t="array" ref="R104">(H104*_xlfn.XLOOKUP(B104,Terméklista!$B$2:$B$103,Terméklista!F$2:$F$103,))/1000</f>
        <v>47.550000000000004</v>
      </c>
      <c r="S104" s="220">
        <f>IFERROR(((H104/_xlfn.XLOOKUP(B104,Terméklista!$B$2:$B$103,Terméklista!$E$2:$E$103)*_xlfn.XLOOKUP(B104,Terméklista!$B$2:$B$103,Terméklista!$I$2:$I$103)))/3600," ")</f>
        <v>2.0833333333333335</v>
      </c>
      <c r="T104" s="212" t="s">
        <v>713</v>
      </c>
      <c r="U104" s="212" t="s">
        <v>708</v>
      </c>
    </row>
    <row r="105" spans="1:21" s="212" customFormat="1" hidden="1">
      <c r="A105" s="212" t="s">
        <v>156</v>
      </c>
      <c r="B105" s="368" t="s">
        <v>146</v>
      </c>
      <c r="C105" s="214" t="str">
        <f>IFERROR(_xlfn.XLOOKUP(B105,Terméklista!$B$2:$B$103,Terméklista!$C$2:$C$103,)," ")</f>
        <v>zsanértest</v>
      </c>
      <c r="D105" s="214"/>
      <c r="F105" s="214" t="str">
        <f>_xlfn.XLOOKUP(B105,Terméklista!B105:B205,Terméklista!G105:G205," ")</f>
        <v xml:space="preserve"> </v>
      </c>
      <c r="G105" s="215">
        <v>6047</v>
      </c>
      <c r="H105" s="216">
        <v>2000</v>
      </c>
      <c r="I105" s="217" t="d">
        <v>2026-01-14</v>
      </c>
      <c r="J105" s="217" t="d">
        <v>2026-01-26</v>
      </c>
      <c r="K105" s="217" t="d">
        <v>2026-02-11</v>
      </c>
      <c r="L105" s="213" t="s">
        <v>53</v>
      </c>
      <c r="M105" s="213" t="s">
        <v>472</v>
      </c>
      <c r="N105" s="214" t="str">
        <f>IFERROR(_xlfn.XLOOKUP(B105,Terméklista!B105:B205,Terméklista!H105:H205)," ")</f>
        <v xml:space="preserve"> </v>
      </c>
      <c r="O105" s="218" t="str">
        <f>IFERROR(ROUNDUP(Rendelés[[#This Row],[Amount/pc]]/_xlfn.XLOOKUP(B105,Terméklista!$B$2:$B$103,Terméklista!$M$2:$M$103,),0)," ")</f>
        <v xml:space="preserve"> </v>
      </c>
      <c r="P105" s="212" t="str">
        <f>IFERROR(ROUNDUP(Rendelés[[#This Row],[Dobozok száma]]/_xlfn.XLOOKUP(B105,Terméklista!$B$2:$B$103,Terméklista!$N$2:$N$103,),0)," ")</f>
        <v xml:space="preserve"> </v>
      </c>
      <c r="Q105" s="219" t="str">
        <f>IFERROR(Rendelés[[#This Row],[Szükséges anyagmennyiség]]+(Rendelés[[#This Row],[Össz raklapok száma]]*25),"")</f>
        <v/>
      </c>
      <c r="R105" s="305" cm="1">
        <f t="array" ref="R105">(H105*_xlfn.XLOOKUP(B105,Terméklista!$B$2:$B$103,Terméklista!F$2:$F$103,))/1000</f>
        <v>140</v>
      </c>
      <c r="S105" s="220">
        <f>IFERROR(((H105/_xlfn.XLOOKUP(B105,Terméklista!$B$2:$B$103,Terméklista!$E$2:$E$103)*_xlfn.XLOOKUP(B105,Terméklista!$B$2:$B$103,Terméklista!$I$2:$I$103)))/3600," ")</f>
        <v>4.166666666666667</v>
      </c>
      <c r="T105" s="212" t="s">
        <v>713</v>
      </c>
      <c r="U105" s="212" t="s">
        <v>708</v>
      </c>
    </row>
    <row r="106" spans="1:21">
      <c r="A106" t="s">
        <v>180</v>
      </c>
      <c r="B106" s="369"/>
      <c r="C106" s="203">
        <f>IFERROR(_xlfn.XLOOKUP(B106,Terméklista!$B$2:$B$103,Terméklista!$C$2:$C$103,)," ")</f>
        <v>0</v>
      </c>
      <c r="D106" s="7" t="s">
        <v>694</v>
      </c>
      <c r="F106" s="203">
        <f>_xlfn.XLOOKUP(B106,Terméklista!B106:B206,Terméklista!G106:G206," ")</f>
        <v>0</v>
      </c>
      <c r="G106" s="205">
        <v>4500104683</v>
      </c>
      <c r="H106" s="150">
        <v>1</v>
      </c>
      <c r="I106" s="8" t="d">
        <v>2026-01-20</v>
      </c>
      <c r="J106" s="8" t="d">
        <v>2026-03-24</v>
      </c>
      <c r="N106" s="7">
        <f>IFERROR(_xlfn.XLOOKUP(B106,Terméklista!B106:B206,Terméklista!H106:H206)," ")</f>
        <v>0</v>
      </c>
      <c r="O106" s="147" t="str">
        <f>IFERROR(ROUNDUP(Rendelés[[#This Row],[Amount/pc]]/_xlfn.XLOOKUP(B106,Terméklista!$B$2:$B$103,Terméklista!$M$2:$M$103,),0)," ")</f>
        <v xml:space="preserve"> </v>
      </c>
      <c r="P106" t="str">
        <f>IFERROR(ROUNDUP(Rendelés[[#This Row],[Dobozok száma]]/_xlfn.XLOOKUP(B106,Terméklista!$B$2:$B$103,Terméklista!$N$2:$N$103,),0)," ")</f>
        <v xml:space="preserve"> </v>
      </c>
      <c r="Q106" s="142" t="str">
        <f>IFERROR(Rendelés[[#This Row],[Szükséges anyagmennyiség]]+(Rendelés[[#This Row],[Össz raklapok száma]]*25),"")</f>
        <v/>
      </c>
      <c r="R106" s="144" cm="1">
        <f t="array" ref="R106">(H106*_xlfn.XLOOKUP(B106,Terméklista!$B$2:$B$103,Terméklista!F$2:$F$103,))/1000</f>
        <v>0</v>
      </c>
      <c r="S106" s="153" t="str">
        <f>IFERROR(((H106/_xlfn.XLOOKUP(B106,Terméklista!$B$2:$B$103,Terméklista!$E$2:$E$103)*_xlfn.XLOOKUP(B106,Terméklista!$B$2:$B$103,Terméklista!$I$2:$I$103)))/3600," ")</f>
        <v xml:space="preserve"> </v>
      </c>
      <c r="U106" s="411" t="s">
        <v>709</v>
      </c>
    </row>
    <row r="107" spans="1:21">
      <c r="A107" t="s">
        <v>180</v>
      </c>
      <c r="B107" s="369" t="s">
        <v>692</v>
      </c>
      <c r="C107" s="203" t="str">
        <f>IFERROR(_xlfn.XLOOKUP(B107,Terméklista!$B$2:$B$103,Terméklista!$C$2:$C$103,)," ")</f>
        <v>80 0230 018 001 01 02</v>
      </c>
      <c r="D107" s="7" t="s">
        <v>674</v>
      </c>
      <c r="F107" s="203" t="str">
        <f>_xlfn.XLOOKUP(B107,Terméklista!B107:B207,Terméklista!G107:G207," ")</f>
        <v xml:space="preserve"> </v>
      </c>
      <c r="G107" s="205">
        <v>4500104683</v>
      </c>
      <c r="H107" s="150">
        <v>500</v>
      </c>
      <c r="I107" s="8" t="d">
        <v>2026-01-20</v>
      </c>
      <c r="J107" s="8" t="d">
        <v>2026-03-31</v>
      </c>
      <c r="N107" s="7" t="str">
        <f>IFERROR(_xlfn.XLOOKUP(B107,Terméklista!B107:B207,Terméklista!H107:H207)," ")</f>
        <v xml:space="preserve"> </v>
      </c>
      <c r="O107" s="147" t="str">
        <f>IFERROR(ROUNDUP(Rendelés[[#This Row],[Amount/pc]]/_xlfn.XLOOKUP(B107,Terméklista!$B$2:$B$103,Terméklista!$M$2:$M$103,),0)," ")</f>
        <v xml:space="preserve"> </v>
      </c>
      <c r="P107" t="str">
        <f>IFERROR(ROUNDUP(Rendelés[[#This Row],[Dobozok száma]]/_xlfn.XLOOKUP(B107,Terméklista!$B$2:$B$103,Terméklista!$N$2:$N$103,),0)," ")</f>
        <v xml:space="preserve"> </v>
      </c>
      <c r="Q107" s="142" t="str">
        <f>IFERROR(Rendelés[[#This Row],[Szükséges anyagmennyiség]]+(Rendelés[[#This Row],[Össz raklapok száma]]*25),"")</f>
        <v/>
      </c>
      <c r="R107" s="144" cm="1">
        <f t="array" ref="R107">(H107*_xlfn.XLOOKUP(B107,Terméklista!$B$2:$B$103,Terméklista!F$2:$F$103,))/1000</f>
        <v>6.0350000000000001</v>
      </c>
      <c r="S107" s="153">
        <f>IFERROR(((H107/_xlfn.XLOOKUP(B107,Terméklista!$B$2:$B$103,Terméklista!$E$2:$E$103)*_xlfn.XLOOKUP(B107,Terméklista!$B$2:$B$103,Terméklista!$I$2:$I$103)))/3600," ")</f>
        <v>0</v>
      </c>
    </row>
    <row r="108" spans="1:21" hidden="1">
      <c r="A108" t="s">
        <v>180</v>
      </c>
      <c r="B108" s="406" t="s">
        <v>19</v>
      </c>
      <c r="C108" s="203" t="str">
        <f>IFERROR(_xlfn.XLOOKUP(B108,Terméklista!$B$2:$B$103,Terméklista!$C$2:$C$103,)," ")</f>
        <v>Zamak Gewicht</v>
      </c>
      <c r="D108" s="407" t="s">
        <v>702</v>
      </c>
      <c r="F108" s="203" t="str">
        <f>_xlfn.XLOOKUP(B108,Terméklista!B107:B208,Terméklista!G107:G208," ")</f>
        <v xml:space="preserve"> </v>
      </c>
      <c r="G108" s="403">
        <v>4500104784</v>
      </c>
      <c r="H108" s="404">
        <v>50000</v>
      </c>
      <c r="I108" s="8" t="d">
        <v>2026-01-26</v>
      </c>
      <c r="J108" s="405" t="d">
        <v>2026-02-25</v>
      </c>
      <c r="K108" s="8" t="d">
        <v>2026-02-24</v>
      </c>
      <c r="L108" s="34" t="s">
        <v>53</v>
      </c>
      <c r="M108" s="34" t="s">
        <v>714</v>
      </c>
      <c r="N108" s="7" t="str">
        <f>IFERROR(_xlfn.XLOOKUP(B108,Terméklista!B107:B208,Terméklista!H107:H208)," ")</f>
        <v xml:space="preserve"> </v>
      </c>
      <c r="O108" s="147">
        <f>IFERROR(ROUNDUP(Rendelés[[#This Row],[Amount/pc]]/_xlfn.XLOOKUP(B108,Terméklista!$B$2:$B$103,Terméklista!$M$2:$M$103,),0)," ")</f>
        <v>143</v>
      </c>
      <c r="P108">
        <f>IFERROR(ROUNDUP(Rendelés[[#This Row],[Dobozok száma]]/_xlfn.XLOOKUP(B108,Terméklista!$B$2:$B$103,Terméklista!$N$2:$N$103,),0)," ")</f>
        <v>5</v>
      </c>
      <c r="Q108" s="142">
        <f>IFERROR(Rendelés[[#This Row],[Szükséges anyagmennyiség]]+(Rendelés[[#This Row],[Össz raklapok száma]]*25),"")</f>
        <v>1551</v>
      </c>
      <c r="R108" s="144" cm="1">
        <f t="array" ref="R108">(H108*_xlfn.XLOOKUP(B108,Terméklista!$B$2:$B$103,Terméklista!F$2:$F$103,))/1000</f>
        <v>1426</v>
      </c>
      <c r="S108" s="153">
        <f>IFERROR(((H108/_xlfn.XLOOKUP(B108,Terméklista!$B$2:$B$103,Terméklista!$E$2:$E$103)*_xlfn.XLOOKUP(B108,Terméklista!$B$2:$B$103,Terméklista!$I$2:$I$103)))/3600," ")</f>
        <v>69.444444444444443</v>
      </c>
      <c r="T108" t="s">
        <v>721</v>
      </c>
      <c r="U108" s="410" t="s">
        <v>710</v>
      </c>
    </row>
    <row r="109" spans="1:21" s="212" customFormat="1" hidden="1">
      <c r="A109" s="212" t="s">
        <v>474</v>
      </c>
      <c r="B109" s="368" t="s">
        <v>479</v>
      </c>
      <c r="C109" s="214" t="s">
        <v>505</v>
      </c>
      <c r="D109" s="214"/>
      <c r="E109" s="212" t="s">
        <v>697</v>
      </c>
      <c r="F109" s="214" t="s">
        <v>545</v>
      </c>
      <c r="G109" s="215"/>
      <c r="H109" s="216">
        <v>1</v>
      </c>
      <c r="I109" s="217"/>
      <c r="J109" s="217"/>
      <c r="K109" s="217"/>
      <c r="L109" s="213" t="s">
        <v>53</v>
      </c>
      <c r="M109" s="213" t="s">
        <v>472</v>
      </c>
      <c r="N109" s="214" t="str">
        <f>IFERROR(_xlfn.XLOOKUP(B109,Terméklista!B108:B209,Terméklista!H108:H209)," ")</f>
        <v xml:space="preserve"> </v>
      </c>
      <c r="O109" s="218" t="str">
        <f>IFERROR(ROUNDUP(Rendelés[[#This Row],[Amount/pc]]/_xlfn.XLOOKUP(B109,Terméklista!$B$2:$B$103,Terméklista!$M$2:$M$103,),0)," ")</f>
        <v xml:space="preserve"> </v>
      </c>
      <c r="P109" s="212" t="str">
        <f>IFERROR(ROUNDUP(Rendelés[[#This Row],[Dobozok száma]]/_xlfn.XLOOKUP(B109,Terméklista!$B$2:$B$103,Terméklista!$N$2:$N$103,),0)," ")</f>
        <v xml:space="preserve"> </v>
      </c>
      <c r="Q109" s="219" t="str">
        <f>IFERROR(Rendelés[[#This Row],[Szükséges anyagmennyiség]]+(Rendelés[[#This Row],[Össz raklapok száma]]*25),"")</f>
        <v/>
      </c>
      <c r="R109" s="305" cm="1">
        <f t="array" ref="R109">(H109*_xlfn.XLOOKUP(B109,Terméklista!$B$2:$B$103,Terméklista!F$2:$F$103,))/1000</f>
        <v>0</v>
      </c>
      <c r="S109" s="220" t="str">
        <f>IFERROR(((H109/_xlfn.XLOOKUP(B109,Terméklista!$B$2:$B$103,Terméklista!$E$2:$E$103)*_xlfn.XLOOKUP(B109,Terméklista!$B$2:$B$103,Terméklista!$I$2:$I$103)))/3600," ")</f>
        <v xml:space="preserve"> </v>
      </c>
    </row>
    <row r="110" spans="1:21" s="212" customFormat="1" hidden="1">
      <c r="A110" s="212" t="s">
        <v>474</v>
      </c>
      <c r="B110" s="368" t="s">
        <v>478</v>
      </c>
      <c r="C110" s="214" t="s">
        <v>670</v>
      </c>
      <c r="D110" s="214"/>
      <c r="E110" s="212" t="s">
        <v>698</v>
      </c>
      <c r="F110" s="214" t="s">
        <v>545</v>
      </c>
      <c r="G110" s="215"/>
      <c r="H110" s="216">
        <v>3</v>
      </c>
      <c r="I110" s="217"/>
      <c r="J110" s="217"/>
      <c r="K110" s="217"/>
      <c r="L110" s="213" t="s">
        <v>53</v>
      </c>
      <c r="M110" s="213" t="s">
        <v>472</v>
      </c>
      <c r="N110" s="214" t="str">
        <f>IFERROR(_xlfn.XLOOKUP(B110,Terméklista!B109:B210,Terméklista!H109:H210)," ")</f>
        <v xml:space="preserve"> </v>
      </c>
      <c r="O110" s="218" t="str">
        <f>IFERROR(ROUNDUP(Rendelés[[#This Row],[Amount/pc]]/_xlfn.XLOOKUP(B110,Terméklista!$B$2:$B$103,Terméklista!$M$2:$M$103,),0)," ")</f>
        <v xml:space="preserve"> </v>
      </c>
      <c r="P110" s="212" t="str">
        <f>IFERROR(ROUNDUP(Rendelés[[#This Row],[Dobozok száma]]/_xlfn.XLOOKUP(B110,Terméklista!$B$2:$B$103,Terméklista!$N$2:$N$103,),0)," ")</f>
        <v xml:space="preserve"> </v>
      </c>
      <c r="Q110" s="219" t="str">
        <f>IFERROR(Rendelés[[#This Row],[Szükséges anyagmennyiség]]+(Rendelés[[#This Row],[Össz raklapok száma]]*25),"")</f>
        <v/>
      </c>
      <c r="R110" s="305" cm="1">
        <f t="array" ref="R110">(H110*_xlfn.XLOOKUP(B110,Terméklista!$B$2:$B$103,Terméklista!F$2:$F$103,))/1000</f>
        <v>0</v>
      </c>
      <c r="S110" s="220" t="str">
        <f>IFERROR(((H110/_xlfn.XLOOKUP(B110,Terméklista!$B$2:$B$103,Terméklista!$E$2:$E$103)*_xlfn.XLOOKUP(B110,Terméklista!$B$2:$B$103,Terméklista!$I$2:$I$103)))/3600," ")</f>
        <v xml:space="preserve"> </v>
      </c>
    </row>
    <row r="111" spans="1:21" s="212" customFormat="1" hidden="1">
      <c r="A111" s="212" t="s">
        <v>474</v>
      </c>
      <c r="B111" s="368" t="s">
        <v>480</v>
      </c>
      <c r="C111" s="214" t="s">
        <v>505</v>
      </c>
      <c r="D111" s="214"/>
      <c r="E111" s="212" t="s">
        <v>699</v>
      </c>
      <c r="F111" s="214" t="s">
        <v>545</v>
      </c>
      <c r="G111" s="215"/>
      <c r="H111" s="216">
        <v>2</v>
      </c>
      <c r="I111" s="217"/>
      <c r="J111" s="217"/>
      <c r="K111" s="217"/>
      <c r="L111" s="213" t="s">
        <v>53</v>
      </c>
      <c r="M111" s="213" t="s">
        <v>472</v>
      </c>
      <c r="N111" s="214" t="str">
        <f>IFERROR(_xlfn.XLOOKUP(B111,Terméklista!B110:B211,Terméklista!H110:H211)," ")</f>
        <v xml:space="preserve"> </v>
      </c>
      <c r="O111" s="218" t="str">
        <f>IFERROR(ROUNDUP(Rendelés[[#This Row],[Amount/pc]]/_xlfn.XLOOKUP(B111,Terméklista!$B$2:$B$103,Terméklista!$M$2:$M$103,),0)," ")</f>
        <v xml:space="preserve"> </v>
      </c>
      <c r="P111" s="212" t="str">
        <f>IFERROR(ROUNDUP(Rendelés[[#This Row],[Dobozok száma]]/_xlfn.XLOOKUP(B111,Terméklista!$B$2:$B$103,Terméklista!$N$2:$N$103,),0)," ")</f>
        <v xml:space="preserve"> </v>
      </c>
      <c r="Q111" s="219" t="str">
        <f>IFERROR(Rendelés[[#This Row],[Szükséges anyagmennyiség]]+(Rendelés[[#This Row],[Össz raklapok száma]]*25),"")</f>
        <v/>
      </c>
      <c r="R111" s="305" cm="1">
        <f t="array" ref="R111">(H111*_xlfn.XLOOKUP(B111,Terméklista!$B$2:$B$103,Terméklista!F$2:$F$103,))/1000</f>
        <v>0</v>
      </c>
      <c r="S111" s="220" t="str">
        <f>IFERROR(((H111/_xlfn.XLOOKUP(B111,Terméklista!$B$2:$B$103,Terméklista!$E$2:$E$103)*_xlfn.XLOOKUP(B111,Terméklista!$B$2:$B$103,Terméklista!$I$2:$I$103)))/3600," ")</f>
        <v xml:space="preserve"> </v>
      </c>
    </row>
    <row r="112" spans="1:21">
      <c r="A112" t="s">
        <v>182</v>
      </c>
      <c r="B112" s="369" t="s">
        <v>461</v>
      </c>
      <c r="E112" t="s">
        <v>701</v>
      </c>
      <c r="G112" s="205">
        <v>27366</v>
      </c>
      <c r="H112" s="150">
        <v>10000</v>
      </c>
      <c r="I112" s="8" t="d">
        <v>2026-02-03</v>
      </c>
      <c r="J112" s="8" t="d">
        <v>2026-03-23</v>
      </c>
      <c r="N112" s="7" t="str">
        <f>IFERROR(_xlfn.XLOOKUP(B112,Terméklista!B111:B212,Terméklista!H111:H212)," ")</f>
        <v xml:space="preserve"> </v>
      </c>
      <c r="O112" s="147">
        <f>IFERROR(ROUNDUP(Rendelés[[#This Row],[Amount/pc]]/_xlfn.XLOOKUP(B112,Terméklista!$B$2:$B$103,Terméklista!$M$2:$M$103,),0)," ")</f>
        <v>67</v>
      </c>
      <c r="P112">
        <f>IFERROR(ROUNDUP(Rendelés[[#This Row],[Dobozok száma]]/_xlfn.XLOOKUP(B112,Terméklista!$B$2:$B$103,Terméklista!$N$2:$N$103,),0)," ")</f>
        <v>1</v>
      </c>
      <c r="Q112" s="145">
        <f>IFERROR(Rendelés[[#This Row],[Szükséges anyagmennyiség]]+(Rendelés[[#This Row],[Össz raklapok száma]]*25),"")</f>
        <v>695</v>
      </c>
      <c r="R112" s="144" cm="1">
        <f t="array" ref="R112">(H112*_xlfn.XLOOKUP(B112,Terméklista!$B$2:$B$103,Terméklista!F$2:$F$103,))/1000</f>
        <v>670</v>
      </c>
      <c r="S112" s="153">
        <f>IFERROR(((H112/_xlfn.XLOOKUP(B112,Terméklista!$B$2:$B$103,Terméklista!$E$2:$E$103)*_xlfn.XLOOKUP(B112,Terméklista!$B$2:$B$103,Terméklista!$I$2:$I$103)))/3600," ")</f>
        <v>6.9444444444444446</v>
      </c>
      <c r="U112" s="410" t="s">
        <v>711</v>
      </c>
    </row>
    <row r="113" spans="1:20" s="212" customFormat="1">
      <c r="A113" s="212" t="s">
        <v>474</v>
      </c>
      <c r="B113" s="368" t="s">
        <v>478</v>
      </c>
      <c r="C113" s="214"/>
      <c r="D113" s="214"/>
      <c r="E113" s="212" t="s">
        <v>717</v>
      </c>
      <c r="F113" s="214" t="s">
        <v>545</v>
      </c>
      <c r="G113" s="215"/>
      <c r="H113" s="216">
        <v>5</v>
      </c>
      <c r="I113" s="217"/>
      <c r="J113" s="217"/>
      <c r="K113" s="217"/>
      <c r="L113" s="213"/>
      <c r="M113" s="213"/>
      <c r="N113" s="214" t="str">
        <f>IFERROR(_xlfn.XLOOKUP(B113,Terméklista!B112:B213,Terméklista!H112:H213)," ")</f>
        <v xml:space="preserve"> </v>
      </c>
      <c r="O113" s="218" t="str">
        <f>IFERROR(ROUNDUP(Rendelés[[#This Row],[Amount/pc]]/_xlfn.XLOOKUP(B113,Terméklista!$B$2:$B$103,Terméklista!$M$2:$M$103,),0)," ")</f>
        <v xml:space="preserve"> </v>
      </c>
      <c r="P113" s="212" t="str">
        <f>IFERROR(ROUNDUP(Rendelés[[#This Row],[Dobozok száma]]/_xlfn.XLOOKUP(B113,Terméklista!$B$2:$B$103,Terméklista!$N$2:$N$103,),0)," ")</f>
        <v xml:space="preserve"> </v>
      </c>
      <c r="Q113" s="219" t="str">
        <f>IFERROR(Rendelés[[#This Row],[Szükséges anyagmennyiség]]+(Rendelés[[#This Row],[Össz raklapok száma]]*25),"")</f>
        <v/>
      </c>
      <c r="R113" s="305" cm="1">
        <f t="array" ref="R113">(H113*_xlfn.XLOOKUP(B113,Terméklista!$B$2:$B$103,Terméklista!F$2:$F$103,))/1000</f>
        <v>0</v>
      </c>
      <c r="S113" s="220" t="str">
        <f>IFERROR(((H113/_xlfn.XLOOKUP(B113,Terméklista!$B$2:$B$103,Terméklista!$E$2:$E$103)*_xlfn.XLOOKUP(B113,Terméklista!$B$2:$B$103,Terméklista!$I$2:$I$103)))/3600," ")</f>
        <v xml:space="preserve"> </v>
      </c>
      <c r="T113" s="212" t="s">
        <v>720</v>
      </c>
    </row>
    <row r="114" spans="1:20" s="212" customFormat="1">
      <c r="A114" s="212" t="s">
        <v>474</v>
      </c>
      <c r="B114" s="368" t="s">
        <v>479</v>
      </c>
      <c r="C114" s="214"/>
      <c r="D114" s="214"/>
      <c r="E114" s="212" t="s">
        <v>718</v>
      </c>
      <c r="F114" s="214" t="s">
        <v>545</v>
      </c>
      <c r="G114" s="215"/>
      <c r="H114" s="216">
        <v>1</v>
      </c>
      <c r="I114" s="217"/>
      <c r="J114" s="217"/>
      <c r="K114" s="217"/>
      <c r="L114" s="213"/>
      <c r="M114" s="213"/>
      <c r="N114" s="214" t="str">
        <f>IFERROR(_xlfn.XLOOKUP(B114,Terméklista!B113:B214,Terméklista!H113:H214)," ")</f>
        <v xml:space="preserve"> </v>
      </c>
      <c r="O114" s="218" t="str">
        <f>IFERROR(ROUNDUP(Rendelés[[#This Row],[Amount/pc]]/_xlfn.XLOOKUP(B114,Terméklista!$B$2:$B$103,Terméklista!$M$2:$M$103,),0)," ")</f>
        <v xml:space="preserve"> </v>
      </c>
      <c r="P114" s="212" t="str">
        <f>IFERROR(ROUNDUP(Rendelés[[#This Row],[Dobozok száma]]/_xlfn.XLOOKUP(B114,Terméklista!$B$2:$B$103,Terméklista!$N$2:$N$103,),0)," ")</f>
        <v xml:space="preserve"> </v>
      </c>
      <c r="Q114" s="219" t="str">
        <f>IFERROR(Rendelés[[#This Row],[Szükséges anyagmennyiség]]+(Rendelés[[#This Row],[Össz raklapok száma]]*25),"")</f>
        <v/>
      </c>
      <c r="R114" s="305" cm="1">
        <f t="array" ref="R114">(H114*_xlfn.XLOOKUP(B114,Terméklista!$B$2:$B$103,Terméklista!F$2:$F$103,))/1000</f>
        <v>0</v>
      </c>
      <c r="S114" s="220" t="str">
        <f>IFERROR(((H114/_xlfn.XLOOKUP(B114,Terméklista!$B$2:$B$103,Terméklista!$E$2:$E$103)*_xlfn.XLOOKUP(B114,Terméklista!$B$2:$B$103,Terméklista!$I$2:$I$103)))/3600," ")</f>
        <v xml:space="preserve"> </v>
      </c>
      <c r="T114" s="212" t="s">
        <v>720</v>
      </c>
    </row>
    <row r="115" spans="1:20" s="212" customFormat="1">
      <c r="A115" s="212" t="s">
        <v>474</v>
      </c>
      <c r="B115" s="368" t="s">
        <v>481</v>
      </c>
      <c r="C115" s="214"/>
      <c r="D115" s="214"/>
      <c r="E115" s="212" t="s">
        <v>719</v>
      </c>
      <c r="F115" s="214" t="s">
        <v>545</v>
      </c>
      <c r="G115" s="215"/>
      <c r="H115" s="216">
        <v>1</v>
      </c>
      <c r="I115" s="217"/>
      <c r="J115" s="217"/>
      <c r="K115" s="217"/>
      <c r="L115" s="213"/>
      <c r="M115" s="213"/>
      <c r="N115" s="214" t="str">
        <f>IFERROR(_xlfn.XLOOKUP(B115,Terméklista!B114:B215,Terméklista!H114:H215)," ")</f>
        <v xml:space="preserve"> </v>
      </c>
      <c r="O115" s="218" t="str">
        <f>IFERROR(ROUNDUP(Rendelés[[#This Row],[Amount/pc]]/_xlfn.XLOOKUP(B115,Terméklista!$B$2:$B$103,Terméklista!$M$2:$M$103,),0)," ")</f>
        <v xml:space="preserve"> </v>
      </c>
      <c r="P115" s="212" t="str">
        <f>IFERROR(ROUNDUP(Rendelés[[#This Row],[Dobozok száma]]/_xlfn.XLOOKUP(B115,Terméklista!$B$2:$B$103,Terméklista!$N$2:$N$103,),0)," ")</f>
        <v xml:space="preserve"> </v>
      </c>
      <c r="Q115" s="219" t="str">
        <f>IFERROR(Rendelés[[#This Row],[Szükséges anyagmennyiség]]+(Rendelés[[#This Row],[Össz raklapok száma]]*25),"")</f>
        <v/>
      </c>
      <c r="R115" s="305" cm="1">
        <f t="array" ref="R115">(H115*_xlfn.XLOOKUP(B115,Terméklista!$B$2:$B$103,Terméklista!F$2:$F$103,))/1000</f>
        <v>0</v>
      </c>
      <c r="S115" s="220" t="str">
        <f>IFERROR(((H115/_xlfn.XLOOKUP(B115,Terméklista!$B$2:$B$103,Terméklista!$E$2:$E$103)*_xlfn.XLOOKUP(B115,Terméklista!$B$2:$B$103,Terméklista!$I$2:$I$103)))/3600," ")</f>
        <v xml:space="preserve"> </v>
      </c>
      <c r="T115" s="212" t="s">
        <v>720</v>
      </c>
    </row>
    <row r="116" spans="1:20">
      <c r="B116" s="369"/>
    </row>
    <row r="117" spans="1:20">
      <c r="B117" s="369"/>
    </row>
    <row r="118" spans="1:20">
      <c r="B118" s="369"/>
    </row>
    <row r="119" spans="1:20">
      <c r="B119" s="369"/>
    </row>
    <row r="120" spans="1:20">
      <c r="B120" s="369"/>
    </row>
    <row r="121" spans="1:20">
      <c r="B121" s="369"/>
    </row>
    <row r="122" spans="1:20">
      <c r="B122" s="369"/>
    </row>
    <row r="123" spans="1:20">
      <c r="I123" s="389"/>
    </row>
  </sheetData>
  <mergeCells count="1">
    <mergeCell ref="A1:C1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mc:AlternateContent xmlns:mc="http://schemas.openxmlformats.org/markup-compatibility/2006">
    <mc:Choice Requires="v">
      <legacyDrawing r:id="rId3"/>
    </mc:Choice>
  </mc:AlternateContent>
  <controls>
    <control shapeId="2093" r:id="rId4" name="Button 45">
      <controlPr defaultSize="0" print="0" autoFill="0" autoPict="0" macro="[0]!AdatokMasolasa">
        <anchor moveWithCells="1">
          <from>
            <xdr:col>4</xdr:col>
            <xdr:colOff>0</xdr:colOff>
            <xdr:row>0</xdr:row>
            <xdr:rowOff>0</xdr:rowOff>
          </from>
          <to>
            <xdr:col>5</xdr:col>
            <xdr:colOff>828675</xdr:colOff>
            <xdr:row>1</xdr:row>
            <xdr:rowOff>0</xdr:rowOff>
          </to>
        </anchor>
      </controlPr>
    </control>
    <control shapeId="2104" r:id="rId5" name="Button 56">
      <controlPr defaultSize="0" print="0" autoFill="0" autoPict="0" macro="[0]!Szallitolevel">
        <anchor moveWithCells="1">
          <from>
            <xdr:col>11</xdr:col>
            <xdr:colOff>723900</xdr:colOff>
            <xdr:row>0</xdr:row>
            <xdr:rowOff>0</xdr:rowOff>
          </from>
          <to>
            <xdr:col>12</xdr:col>
            <xdr:colOff>723900</xdr:colOff>
            <xdr:row>1</xdr:row>
            <xdr:rowOff>0</xdr:rowOff>
          </to>
        </anchor>
      </controlPr>
    </control>
    <control shapeId="2105" r:id="rId6" name="Button 57">
      <controlPr defaultSize="0" print="0" autoFill="0" autoPict="0" macro="[0]!CMR">
        <anchor moveWithCells="1" sizeWithCells="1">
          <from>
            <xdr:col>9</xdr:col>
            <xdr:colOff>219075</xdr:colOff>
            <xdr:row>0</xdr:row>
            <xdr:rowOff>28575</xdr:rowOff>
          </from>
          <to>
            <xdr:col>9</xdr:col>
            <xdr:colOff>942975</xdr:colOff>
            <xdr:row>0</xdr:row>
            <xdr:rowOff>371475</xdr:rowOff>
          </to>
        </anchor>
      </controlPr>
    </control>
  </controls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6863F384-A22C-46F1-895E-296D4159670E}">
          <x14:formula1>
            <xm:f>_xlfn.ANCHORARRAY(_xlfn.XLOOKUP(A439,Terméklista!#REF!,Terméklista!#REF!))</xm:f>
          </x14:formula1>
          <xm:sqref>B439</xm:sqref>
        </x14:dataValidation>
        <x14:dataValidation type="list" allowBlank="1" showInputMessage="1" showErrorMessage="1" xr:uid="{14CEE78C-53CB-4652-BFE9-0E0FFEDC41F8}">
          <x14:formula1>
            <xm:f>_xlfn.ANCHORARRAY(Terméklista!$V$8)</xm:f>
          </x14:formula1>
          <xm:sqref>A1:A71 A75:A1048576</xm:sqref>
        </x14:dataValidation>
        <x14:dataValidation type="list" allowBlank="1" showInputMessage="1" showErrorMessage="1" xr:uid="{D7BDDFB0-DCEC-44D9-98A3-A8EBE0DF292A}">
          <x14:formula1>
            <xm:f>_xlfn.ANCHORARRAY(_xlfn.XLOOKUP(A409,Terméklista!W76:AF76,Terméklista!W77:AF77))</xm:f>
          </x14:formula1>
          <xm:sqref>B409:B434 B1048563:B1048576</xm:sqref>
        </x14:dataValidation>
        <x14:dataValidation type="list" allowBlank="1" showInputMessage="1" showErrorMessage="1" xr:uid="{72ECD1C2-CD5B-4B84-91FD-0D3658FDEFE1}">
          <x14:formula1>
            <xm:f>_xlfn.ANCHORARRAY(_xlfn.XLOOKUP(A436,Terméklista!#REF!,Terméklista!W104:AF104))</xm:f>
          </x14:formula1>
          <xm:sqref>B436</xm:sqref>
        </x14:dataValidation>
        <x14:dataValidation type="list" allowBlank="1" showInputMessage="1" showErrorMessage="1" xr:uid="{2F75EB1D-0060-4A0B-95FC-AD09131D79DF}">
          <x14:formula1>
            <xm:f>_xlfn.ANCHORARRAY(_xlfn.XLOOKUP(A435,Terméklista!W103:AF103,Terméklista!#REF!))</xm:f>
          </x14:formula1>
          <xm:sqref>B435</xm:sqref>
        </x14:dataValidation>
        <x14:dataValidation type="list" allowBlank="1" showInputMessage="1" showErrorMessage="1" xr:uid="{52C77DC7-5CE8-4AA1-93B3-A959E18DF7BC}">
          <x14:formula1>
            <xm:f>_xlfn.ANCHORARRAY(_xlfn.XLOOKUP(A408,Terméklista!W74:AF74,Terméklista!W76:AF76))</xm:f>
          </x14:formula1>
          <xm:sqref>B408</xm:sqref>
        </x14:dataValidation>
        <x14:dataValidation type="list" allowBlank="1" showInputMessage="1" showErrorMessage="1" xr:uid="{509A9928-23B3-4DF9-B8BB-E5499620B344}">
          <x14:formula1>
            <xm:f>_xlfn.ANCHORARRAY(_xlfn.XLOOKUP(A437,Terméklista!W114:AF114,Terméklista!W115:AF115))</xm:f>
          </x14:formula1>
          <xm:sqref>B437</xm:sqref>
        </x14:dataValidation>
        <x14:dataValidation type="list" allowBlank="1" showInputMessage="1" showErrorMessage="1" xr:uid="{6FB1285B-82C1-4D81-BB11-BE2434C1D76E}">
          <x14:formula1>
            <xm:f>_xlfn.ANCHORARRAY(_xlfn.XLOOKUP(A440,Terméklista!#REF!,Terméklista!W116:AF116))</xm:f>
          </x14:formula1>
          <xm:sqref>B440</xm:sqref>
        </x14:dataValidation>
        <x14:dataValidation type="list" allowBlank="1" showInputMessage="1" showErrorMessage="1" xr:uid="{C9A4E4F3-709C-4B15-8F20-E044BD8AB470}">
          <x14:formula1>
            <xm:f>_xlfn.ANCHORARRAY(_xlfn.XLOOKUP(A438,Terméklista!W115:AF115,Terméklista!#REF!))</xm:f>
          </x14:formula1>
          <xm:sqref>B438</xm:sqref>
        </x14:dataValidation>
        <x14:dataValidation type="list" allowBlank="1" showInputMessage="1" showErrorMessage="1" xr:uid="{33B20279-CFF7-4A64-A116-A7354F6627B0}">
          <x14:formula1>
            <xm:f>_xlfn.ANCHORARRAY(_xlfn.XLOOKUP(A123,Terméklista!W1048373:AF1048373,Terméklista!W1048374:AF1048374))</xm:f>
          </x14:formula1>
          <xm:sqref>B123:B407 B441:B1048562</xm:sqref>
        </x14:dataValidation>
        <x14:dataValidation type="list" showInputMessage="1" showErrorMessage="1" xr:uid="{695E81B5-6AB2-4FB4-8724-238B3873B6AA}">
          <x14:formula1>
            <xm:f>_xlfn.ANCHORARRAY(_xlfn.XLOOKUP(A3,Terméklista!$V$8:$AD$8,Terméklista!$V$9:$AD$9))</xm:f>
          </x14:formula1>
          <xm:sqref>B3:B122</xm:sqref>
        </x14:dataValidation>
        <x14:dataValidation type="list" allowBlank="1" showInputMessage="1" showErrorMessage="1" xr:uid="{CCA5B699-FD14-46A4-8515-D1BB107F5D30}">
          <x14:formula1>
            <xm:f>_xlfn.XLOOKUP(B4,Terméklista!B1048245:B1048342,Terméklista!D1048245:D1048342," ")</xm:f>
          </x14:formula1>
          <xm:sqref>D4:D47</xm:sqref>
        </x14:dataValidation>
        <x14:dataValidation type="list" allowBlank="1" showInputMessage="1" showErrorMessage="1" xr:uid="{056B6816-F244-49B7-A364-EA043261EE49}">
          <x14:formula1>
            <xm:f>_xlfn.XLOOKUP(B48,Terméklista!B1048288:B1048385,Terméklista!D1048288:D1048385," ")</xm:f>
          </x14:formula1>
          <xm:sqref>D48 D51:D61</xm:sqref>
        </x14:dataValidation>
        <x14:dataValidation type="list" allowBlank="1" showInputMessage="1" showErrorMessage="1" xr:uid="{2447044F-EB10-4550-A406-4DF112DF9466}">
          <x14:formula1>
            <xm:f>_xlfn.ANCHORARRAY(_xlfn.XLOOKUP(A1,Terméklista!W1048242:AF1048242,Terméklista!W1048243:AF1048243))</xm:f>
          </x14:formula1>
          <xm:sqref>B1:B2</xm:sqref>
        </x14:dataValidation>
      </x14:dataValidations>
    </ext>
  </extLs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5"/>
  <dimension ref="A1:Y22"/>
  <sheetViews>
    <sheetView zoomScale="115" zoomScaleNormal="115" workbookViewId="0">
      <selection activeCell="K25" sqref="K25"/>
    </sheetView>
  </sheetViews>
  <sheetFormatPr defaultColWidth="8.7109375" defaultRowHeight="15"/>
  <cols>
    <col min="1" max="1" width="27.28515625" bestFit="1" customWidth="1"/>
    <col min="2" max="2" width="35.85546875" style="7" customWidth="1"/>
    <col min="3" max="3" width="15.85546875" style="7" customWidth="1"/>
    <col min="4" max="4" width="17.85546875" style="7" customWidth="1"/>
    <col min="5" max="5" width="18.42578125" style="34" customWidth="1"/>
    <col min="6" max="6" width="12.42578125" style="7" bestFit="1" customWidth="1"/>
    <col min="7" max="7" width="13.42578125" style="151" customWidth="1"/>
    <col min="8" max="8" width="24.42578125" style="7" customWidth="1"/>
    <col min="9" max="9" width="21.28515625" style="7" customWidth="1"/>
    <col min="10" max="10" width="19.28515625" style="7" customWidth="1"/>
    <col min="11" max="11" width="25.28515625" customWidth="1"/>
    <col min="12" max="12" width="22.42578125" customWidth="1"/>
    <col min="13" max="13" width="16.85546875" customWidth="1"/>
    <col min="14" max="14" width="17.7109375" customWidth="1"/>
    <col min="15" max="15" width="26.28515625" customWidth="1"/>
    <col min="16" max="16" width="63.85546875" customWidth="1"/>
    <col min="17" max="17" width="14.7109375" customWidth="1"/>
    <col min="18" max="19" width="12" customWidth="1"/>
    <col min="20" max="20" width="10.28515625" customWidth="1"/>
    <col min="22" max="22" width="21.140625" customWidth="1"/>
    <col min="25" max="25" width="25.42578125" customWidth="1"/>
  </cols>
  <sheetData>
    <row r="1" spans="1:25" ht="31.5" customHeight="1">
      <c r="A1" s="412" t="s">
        <v>49</v>
      </c>
      <c r="B1" s="412"/>
      <c r="C1" s="412"/>
      <c r="D1" s="33"/>
      <c r="E1" s="39"/>
      <c r="F1" s="33"/>
      <c r="H1" s="210"/>
      <c r="I1" s="33"/>
      <c r="J1" s="154" t="s">
        <v>206</v>
      </c>
      <c r="K1" s="155">
        <v>11</v>
      </c>
      <c r="L1" s="136"/>
      <c r="M1" s="156">
        <f>SUM(M3:M762)</f>
        <v>0</v>
      </c>
      <c r="N1" s="136"/>
      <c r="O1" s="136"/>
      <c r="Y1">
        <v>25</v>
      </c>
    </row>
    <row r="2" spans="1:25" ht="78.75">
      <c r="A2" s="1" t="s">
        <v>44</v>
      </c>
      <c r="B2" s="1" t="s">
        <v>194</v>
      </c>
      <c r="C2" s="1" t="s">
        <v>199</v>
      </c>
      <c r="D2" s="1" t="s">
        <v>0</v>
      </c>
      <c r="E2" s="36" t="s">
        <v>196</v>
      </c>
      <c r="F2" s="1" t="s">
        <v>80</v>
      </c>
      <c r="G2" s="1" t="s">
        <v>306</v>
      </c>
      <c r="H2" s="36" t="s">
        <v>47</v>
      </c>
      <c r="I2" s="1" t="s">
        <v>200</v>
      </c>
      <c r="J2" s="206" t="s">
        <v>207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3" t="s">
        <v>6</v>
      </c>
      <c r="Q2" s="3" t="s">
        <v>7</v>
      </c>
      <c r="R2" s="3" t="s">
        <v>8</v>
      </c>
      <c r="S2" s="3" t="s">
        <v>9</v>
      </c>
      <c r="T2" s="3" t="s">
        <v>10</v>
      </c>
      <c r="U2" s="3" t="s">
        <v>11</v>
      </c>
      <c r="V2" s="3" t="s">
        <v>12</v>
      </c>
      <c r="W2" s="3" t="s">
        <v>13</v>
      </c>
      <c r="X2" s="4" t="s">
        <v>14</v>
      </c>
      <c r="Y2" s="4" t="s">
        <v>444</v>
      </c>
    </row>
    <row r="3" spans="1:25">
      <c r="A3" t="s">
        <v>159</v>
      </c>
      <c r="C3" s="7">
        <v>0</v>
      </c>
      <c r="E3" s="34" t="s">
        <v>500</v>
      </c>
      <c r="H3" s="209" t="d">
        <v>2025-07-16</v>
      </c>
      <c r="I3" s="7">
        <f>IFERROR(_xlfn.XLOOKUP(B3,Terméklista!$B$6:$B$105,Terméklista!$H$6:$H$105)," ")</f>
        <v>0</v>
      </c>
      <c r="J3" s="207"/>
      <c r="K3" t="s">
        <v>571</v>
      </c>
      <c r="L3" t="s">
        <v>571</v>
      </c>
      <c r="N3" t="str">
        <f t="shared" ref="N3" si="0">IFERROR(M3+(L3*30),"")</f>
        <v/>
      </c>
    </row>
    <row r="4" spans="1:25">
      <c r="A4" t="s">
        <v>159</v>
      </c>
      <c r="C4" s="7">
        <v>0</v>
      </c>
      <c r="D4" s="7" t="s">
        <v>500</v>
      </c>
      <c r="E4" s="34" t="s">
        <v>517</v>
      </c>
      <c r="H4" s="209" t="d">
        <v>2025-07-16</v>
      </c>
      <c r="I4" s="7">
        <f>IFERROR(_xlfn.XLOOKUP(B4,Terméklista!$B$6:$B$105,Terméklista!$H$6:$H$105)," ")</f>
        <v>0</v>
      </c>
      <c r="J4" s="207"/>
      <c r="K4" t="s">
        <v>571</v>
      </c>
      <c r="L4" t="s">
        <v>571</v>
      </c>
      <c r="N4" t="str">
        <f t="shared" ref="N4" si="1">IFERROR(M4+(L4*30),"")</f>
        <v/>
      </c>
    </row>
    <row r="5" spans="1:25">
      <c r="A5" t="s">
        <v>165</v>
      </c>
      <c r="B5" s="7" t="s">
        <v>55</v>
      </c>
      <c r="C5" s="7">
        <v>0</v>
      </c>
      <c r="G5" s="151">
        <v>11000</v>
      </c>
      <c r="I5" s="7">
        <f>IFERROR(_xlfn.XLOOKUP(B5,Terméklista!$B$6:$B$105,Terméklista!$H$6:$H$105)," ")</f>
        <v>0</v>
      </c>
      <c r="J5" s="207"/>
      <c r="N5">
        <f t="shared" ref="N5:N22" si="2">IFERROR(M5+(L5*30),"")</f>
        <v>0</v>
      </c>
      <c r="Y5" t="s">
        <v>669</v>
      </c>
    </row>
    <row r="6" spans="1:25">
      <c r="A6" t="s">
        <v>165</v>
      </c>
      <c r="B6" s="7" t="s">
        <v>56</v>
      </c>
      <c r="C6" s="7">
        <v>0</v>
      </c>
      <c r="G6" s="151">
        <v>30000</v>
      </c>
      <c r="I6" s="7">
        <f>IFERROR(_xlfn.XLOOKUP(B6,Terméklista!$B$6:$B$105,Terméklista!$H$6:$H$105)," ")</f>
        <v>0</v>
      </c>
      <c r="J6" s="207"/>
      <c r="N6">
        <f t="shared" si="2"/>
        <v>0</v>
      </c>
      <c r="Y6" t="s">
        <v>669</v>
      </c>
    </row>
    <row r="7" spans="1:25">
      <c r="A7" t="s">
        <v>180</v>
      </c>
      <c r="B7" s="7" t="s">
        <v>16</v>
      </c>
      <c r="C7" s="7" t="s">
        <v>408</v>
      </c>
      <c r="D7" s="7" t="s">
        <v>501</v>
      </c>
      <c r="G7" s="151">
        <v>200000</v>
      </c>
      <c r="H7" s="209" t="d">
        <v>2026-03-09</v>
      </c>
      <c r="I7" s="7">
        <f>IFERROR(_xlfn.XLOOKUP(B7,Terméklista!$B$6:$B$105,Terméklista!$H$6:$H$105)," ")</f>
        <v>0</v>
      </c>
      <c r="J7" s="207"/>
      <c r="N7">
        <f t="shared" si="2"/>
        <v>0</v>
      </c>
      <c r="Y7">
        <v>4500104126</v>
      </c>
    </row>
    <row r="8" spans="1:25">
      <c r="A8" t="s">
        <v>180</v>
      </c>
      <c r="B8" s="7" t="s">
        <v>16</v>
      </c>
      <c r="C8" s="7" t="s">
        <v>408</v>
      </c>
      <c r="D8" s="7" t="s">
        <v>501</v>
      </c>
      <c r="G8" s="151">
        <v>250000</v>
      </c>
      <c r="H8" s="209" t="d">
        <v>2026-03-16</v>
      </c>
      <c r="I8" s="7">
        <f>IFERROR(_xlfn.XLOOKUP(B8,Terméklista!$B$6:$B$105,Terméklista!$H$6:$H$105)," ")</f>
        <v>0</v>
      </c>
      <c r="J8" s="207"/>
      <c r="N8">
        <f t="shared" si="2"/>
        <v>0</v>
      </c>
      <c r="Y8">
        <v>4500104215</v>
      </c>
    </row>
    <row r="9" spans="1:25">
      <c r="A9" t="s">
        <v>180</v>
      </c>
      <c r="B9" s="7" t="s">
        <v>50</v>
      </c>
      <c r="C9" s="7" t="s">
        <v>408</v>
      </c>
      <c r="D9" s="7" t="s">
        <v>501</v>
      </c>
      <c r="G9" s="151">
        <v>33750</v>
      </c>
      <c r="H9" s="209" t="d">
        <v>2026-02-25</v>
      </c>
      <c r="I9" s="7">
        <f>IFERROR(_xlfn.XLOOKUP(B9,Terméklista!$B$6:$B$105,Terméklista!$H$6:$H$105)," ")</f>
        <v>0</v>
      </c>
      <c r="J9" s="207"/>
      <c r="N9">
        <f t="shared" si="2"/>
        <v>0</v>
      </c>
      <c r="Y9">
        <v>4500104347</v>
      </c>
    </row>
    <row r="10" spans="1:25">
      <c r="A10" t="s">
        <v>180</v>
      </c>
      <c r="B10" s="7" t="s">
        <v>17</v>
      </c>
      <c r="C10" s="7" t="s">
        <v>408</v>
      </c>
      <c r="D10" s="7" t="s">
        <v>674</v>
      </c>
      <c r="G10" s="151">
        <v>50000</v>
      </c>
      <c r="H10" s="209" t="d">
        <v>2026-02-25</v>
      </c>
      <c r="I10" s="7">
        <f>IFERROR(_xlfn.XLOOKUP(B10,Terméklista!$B$6:$B$105,Terméklista!$H$6:$H$105)," ")</f>
        <v>0</v>
      </c>
      <c r="J10" s="207"/>
      <c r="N10">
        <f t="shared" si="2"/>
        <v>0</v>
      </c>
      <c r="Y10">
        <v>4500104347</v>
      </c>
    </row>
    <row r="11" spans="1:25">
      <c r="A11" t="s">
        <v>180</v>
      </c>
      <c r="B11" s="7" t="s">
        <v>43</v>
      </c>
      <c r="C11" s="7" t="s">
        <v>408</v>
      </c>
      <c r="D11" s="7" t="s">
        <v>675</v>
      </c>
      <c r="G11" s="151">
        <v>80000</v>
      </c>
      <c r="H11" s="209" t="d">
        <v>2026-02-25</v>
      </c>
      <c r="I11" s="7">
        <f>IFERROR(_xlfn.XLOOKUP(B11,Terméklista!$B$6:$B$105,Terméklista!$H$6:$H$105)," ")</f>
        <v>0</v>
      </c>
      <c r="J11" s="207"/>
      <c r="N11">
        <f t="shared" si="2"/>
        <v>0</v>
      </c>
      <c r="Y11">
        <v>4500104347</v>
      </c>
    </row>
    <row r="12" spans="1:25">
      <c r="A12" t="s">
        <v>180</v>
      </c>
      <c r="C12" s="7">
        <v>0</v>
      </c>
      <c r="D12" s="7" t="s">
        <v>694</v>
      </c>
      <c r="G12" s="151">
        <v>1</v>
      </c>
      <c r="H12" s="209" t="d">
        <v>2026-03-24</v>
      </c>
      <c r="I12" s="7">
        <f>IFERROR(_xlfn.XLOOKUP(B12,Terméklista!$B$6:$B$105,Terméklista!$H$6:$H$105)," ")</f>
        <v>0</v>
      </c>
      <c r="J12" s="207"/>
      <c r="N12">
        <f t="shared" si="2"/>
        <v>0</v>
      </c>
      <c r="Y12">
        <v>4500104683</v>
      </c>
    </row>
    <row r="13" spans="1:25">
      <c r="A13" t="s">
        <v>180</v>
      </c>
      <c r="B13" s="7" t="s">
        <v>692</v>
      </c>
      <c r="C13" s="7" t="s">
        <v>693</v>
      </c>
      <c r="D13" s="7" t="s">
        <v>674</v>
      </c>
      <c r="G13" s="151">
        <v>500</v>
      </c>
      <c r="H13" s="209" t="d">
        <v>2026-03-31</v>
      </c>
      <c r="I13" s="7">
        <f>IFERROR(_xlfn.XLOOKUP(B13,Terméklista!$B$6:$B$105,Terméklista!$H$6:$H$105)," ")</f>
        <v>0</v>
      </c>
      <c r="J13" s="207"/>
      <c r="N13">
        <f t="shared" si="2"/>
        <v>0</v>
      </c>
      <c r="Y13">
        <v>4500104683</v>
      </c>
    </row>
    <row r="14" spans="1:25">
      <c r="A14" t="s">
        <v>180</v>
      </c>
      <c r="B14" s="7" t="s">
        <v>19</v>
      </c>
      <c r="C14" s="7" t="s">
        <v>408</v>
      </c>
      <c r="D14" s="7" t="s">
        <v>702</v>
      </c>
      <c r="G14" s="151">
        <v>50000</v>
      </c>
      <c r="H14" s="209" t="d">
        <v>2026-02-25</v>
      </c>
      <c r="I14" s="7">
        <f>IFERROR(_xlfn.XLOOKUP(B14,Terméklista!$B$6:$B$105,Terméklista!$H$6:$H$105)," ")</f>
        <v>0</v>
      </c>
      <c r="J14" s="207" t="s">
        <v>53</v>
      </c>
      <c r="N14">
        <f t="shared" si="2"/>
        <v>0</v>
      </c>
      <c r="Y14">
        <v>4500104784</v>
      </c>
    </row>
    <row r="15" spans="1:25">
      <c r="A15" t="s">
        <v>182</v>
      </c>
      <c r="B15" s="7" t="s">
        <v>461</v>
      </c>
      <c r="E15" s="34" t="s">
        <v>701</v>
      </c>
      <c r="G15" s="151">
        <v>10000</v>
      </c>
      <c r="H15" s="209" t="d">
        <v>2026-03-23</v>
      </c>
      <c r="I15" s="7">
        <f>IFERROR(_xlfn.XLOOKUP(B15,Terméklista!$B$6:$B$105,Terméklista!$H$6:$H$105)," ")</f>
        <v>0</v>
      </c>
      <c r="J15" s="207"/>
      <c r="N15">
        <f t="shared" si="2"/>
        <v>0</v>
      </c>
      <c r="Y15">
        <v>27366</v>
      </c>
    </row>
    <row r="16" spans="1:25">
      <c r="A16" t="s">
        <v>474</v>
      </c>
      <c r="B16" s="7" t="s">
        <v>478</v>
      </c>
      <c r="E16" s="34" t="s">
        <v>717</v>
      </c>
      <c r="G16" s="151">
        <v>5</v>
      </c>
      <c r="I16" s="7">
        <f>IFERROR(_xlfn.XLOOKUP(B16,Terméklista!$B$6:$B$105,Terméklista!$H$6:$H$105)," ")</f>
        <v>0</v>
      </c>
      <c r="J16" s="207"/>
      <c r="N16">
        <f t="shared" si="2"/>
        <v>0</v>
      </c>
    </row>
    <row r="17" spans="1:25">
      <c r="A17" t="s">
        <v>474</v>
      </c>
      <c r="B17" s="7" t="s">
        <v>479</v>
      </c>
      <c r="E17" s="34" t="s">
        <v>718</v>
      </c>
      <c r="G17" s="151">
        <v>1</v>
      </c>
      <c r="I17" s="7">
        <f>IFERROR(_xlfn.XLOOKUP(B17,Terméklista!$B$6:$B$105,Terméklista!$H$6:$H$105)," ")</f>
        <v>0</v>
      </c>
      <c r="J17" s="207"/>
      <c r="N17">
        <f t="shared" si="2"/>
        <v>0</v>
      </c>
    </row>
    <row r="18" spans="1:25">
      <c r="A18" t="s">
        <v>474</v>
      </c>
      <c r="B18" s="7" t="s">
        <v>481</v>
      </c>
      <c r="E18" s="34" t="s">
        <v>719</v>
      </c>
      <c r="G18" s="151">
        <v>1</v>
      </c>
      <c r="I18" s="7">
        <f>IFERROR(_xlfn.XLOOKUP(B18,Terméklista!$B$6:$B$105,Terméklista!$H$6:$H$105)," ")</f>
        <v>0</v>
      </c>
      <c r="J18" s="207"/>
      <c r="N18">
        <f t="shared" si="2"/>
        <v>0</v>
      </c>
    </row>
    <row r="19" spans="1:25">
      <c r="A19" t="s">
        <v>156</v>
      </c>
      <c r="B19" s="7" t="s">
        <v>41</v>
      </c>
      <c r="G19" s="151">
        <v>1500</v>
      </c>
      <c r="H19" s="209" t="d">
        <v>2026-02-20</v>
      </c>
      <c r="I19" s="7">
        <f>IFERROR(_xlfn.XLOOKUP(B19,Terméklista!$B$6:$B$105,Terméklista!$H$6:$H$105)," ")</f>
        <v>0</v>
      </c>
      <c r="J19" s="207"/>
      <c r="N19">
        <f t="shared" si="2"/>
        <v>0</v>
      </c>
      <c r="Y19">
        <v>6076</v>
      </c>
    </row>
    <row r="20" spans="1:25">
      <c r="A20" t="s">
        <v>180</v>
      </c>
      <c r="B20" s="7" t="s">
        <v>19</v>
      </c>
      <c r="D20" s="7" t="s">
        <v>674</v>
      </c>
      <c r="G20" s="151">
        <v>50000</v>
      </c>
      <c r="H20" s="209" t="d">
        <v>2026-03-16</v>
      </c>
      <c r="I20" s="7">
        <f>IFERROR(_xlfn.XLOOKUP(B20,Terméklista!$B$6:$B$105,Terméklista!$H$6:$H$105)," ")</f>
        <v>0</v>
      </c>
      <c r="J20" s="207"/>
      <c r="N20">
        <f t="shared" si="2"/>
        <v>0</v>
      </c>
      <c r="Y20">
        <v>4500104784</v>
      </c>
    </row>
    <row r="21" spans="1:25">
      <c r="A21" t="s">
        <v>180</v>
      </c>
      <c r="B21" s="7" t="s">
        <v>17</v>
      </c>
      <c r="D21" s="7" t="s">
        <v>501</v>
      </c>
      <c r="G21" s="151">
        <v>50000</v>
      </c>
      <c r="H21" s="209" t="d">
        <v>2026-04-13</v>
      </c>
      <c r="I21" s="7">
        <f>IFERROR(_xlfn.XLOOKUP(B21,Terméklista!$B$6:$B$105,Terméklista!$H$6:$H$105)," ")</f>
        <v>0</v>
      </c>
      <c r="J21" s="207"/>
      <c r="N21">
        <f t="shared" si="2"/>
        <v>0</v>
      </c>
      <c r="Y21">
        <v>4500105052</v>
      </c>
    </row>
    <row r="22" spans="1:25">
      <c r="A22" t="s">
        <v>180</v>
      </c>
      <c r="B22" s="7" t="s">
        <v>16</v>
      </c>
      <c r="D22" s="7" t="s">
        <v>501</v>
      </c>
      <c r="G22" s="151">
        <v>250000</v>
      </c>
      <c r="H22" s="209" t="d">
        <v>2026-06-01</v>
      </c>
      <c r="I22" s="7">
        <f>IFERROR(_xlfn.XLOOKUP(B22,Terméklista!$B$6:$B$105,Terméklista!$H$6:$H$105)," ")</f>
        <v>0</v>
      </c>
      <c r="J22" s="207"/>
      <c r="N22">
        <f t="shared" si="2"/>
        <v>0</v>
      </c>
      <c r="Y22">
        <v>4500105053</v>
      </c>
    </row>
  </sheetData>
  <mergeCells count="1">
    <mergeCell ref="A1:C1"/>
  </mergeCells>
  <phoneticPr fontId="12" type="noConversion"/>
  <pageMargins left="0.7" right="0.7" top="0.75" bottom="0.75" header="0.3" footer="0.3"/>
  <pageSetup paperSize="9" orientation="landscape" r:id="rId1"/>
  <drawing r:id="rId2"/>
  <mc:AlternateContent xmlns:mc="http://schemas.openxmlformats.org/markup-compatibility/2006">
    <mc:Choice Requires="v">
      <legacyDrawing r:id="rId3"/>
    </mc:Choice>
  </mc:AlternateContent>
  <controls>
    <control shapeId="5131" r:id="rId4" name="Button 11">
      <controlPr defaultSize="0" print="0" autoFill="0" autoPict="0" macro="[0]!Szallitas">
        <anchor moveWithCells="1" sizeWithCells="1">
          <from>
            <xdr:col>4</xdr:col>
            <xdr:colOff>28575</xdr:colOff>
            <xdr:row>0</xdr:row>
            <xdr:rowOff>28575</xdr:rowOff>
          </from>
          <to>
            <xdr:col>5</xdr:col>
            <xdr:colOff>800100</xdr:colOff>
            <xdr:row>0</xdr:row>
            <xdr:rowOff>371475</xdr:rowOff>
          </to>
        </anchor>
      </controlPr>
    </control>
    <control shapeId="5134" r:id="rId5" name="Button 14">
      <controlPr defaultSize="0" print="0" autoFill="0" autoPict="0" macro="[0]!EtikettBetoltesUjFajlba">
        <anchor moveWithCells="1" sizeWithCells="1">
          <from>
            <xdr:col>8</xdr:col>
            <xdr:colOff>9525</xdr:colOff>
            <xdr:row>0</xdr:row>
            <xdr:rowOff>28575</xdr:rowOff>
          </from>
          <to>
            <xdr:col>8</xdr:col>
            <xdr:colOff>1409700</xdr:colOff>
            <xdr:row>0</xdr:row>
            <xdr:rowOff>381000</xdr:rowOff>
          </to>
        </anchor>
      </controlPr>
    </control>
    <control shapeId="5135" r:id="rId6" name="Button 15">
      <controlPr defaultSize="0" print="0" autoFill="0" autoPict="0" macro="[0]!RaklapFajlLetrehozasa">
        <anchor moveWithCells="1" sizeWithCells="1">
          <from>
            <xdr:col>9</xdr:col>
            <xdr:colOff>28575</xdr:colOff>
            <xdr:row>0</xdr:row>
            <xdr:rowOff>28575</xdr:rowOff>
          </from>
          <to>
            <xdr:col>10</xdr:col>
            <xdr:colOff>0</xdr:colOff>
            <xdr:row>0</xdr:row>
            <xdr:rowOff>371475</xdr:rowOff>
          </to>
        </anchor>
      </controlPr>
    </control>
  </controls>
  <tableParts count="1">
    <tablePart r:id="rId7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unka2"/>
  <dimension ref="A1:AG100"/>
  <sheetViews>
    <sheetView zoomScale="85" zoomScaleNormal="85" workbookViewId="0">
      <selection activeCell="N79" sqref="N79"/>
    </sheetView>
  </sheetViews>
  <sheetFormatPr defaultColWidth="8.7109375" defaultRowHeight="15"/>
  <cols>
    <col min="1" max="1" width="27.85546875" bestFit="1" customWidth="1"/>
    <col min="2" max="2" width="25.140625" customWidth="1"/>
    <col min="3" max="3" width="25.140625" bestFit="1" customWidth="1"/>
    <col min="4" max="4" width="23" style="301" customWidth="1"/>
    <col min="5" max="5" width="19.140625" customWidth="1"/>
    <col min="6" max="8" width="14" customWidth="1"/>
    <col min="9" max="9" width="14.7109375" bestFit="1" customWidth="1"/>
    <col min="10" max="11" width="14.7109375" customWidth="1"/>
    <col min="12" max="12" width="17" customWidth="1"/>
    <col min="13" max="13" width="13.7109375" customWidth="1"/>
    <col min="14" max="15" width="15.42578125" style="7" customWidth="1"/>
    <col min="16" max="20" width="15.42578125" customWidth="1"/>
    <col min="21" max="21" width="12.42578125" customWidth="1"/>
    <col min="22" max="22" width="20.140625" bestFit="1" customWidth="1"/>
    <col min="23" max="23" width="16" bestFit="1" customWidth="1"/>
    <col min="24" max="24" width="16.42578125" bestFit="1" customWidth="1"/>
    <col min="25" max="25" width="23.85546875" bestFit="1" customWidth="1"/>
    <col min="26" max="26" width="14.85546875" bestFit="1" customWidth="1"/>
    <col min="27" max="27" width="18.42578125" bestFit="1" customWidth="1"/>
    <col min="28" max="28" width="27.28515625" bestFit="1" customWidth="1"/>
    <col min="29" max="29" width="14.85546875" bestFit="1" customWidth="1"/>
    <col min="30" max="30" width="18.42578125" bestFit="1" customWidth="1"/>
    <col min="31" max="31" width="27.28515625" bestFit="1" customWidth="1"/>
  </cols>
  <sheetData>
    <row r="1" spans="1:33" s="7" customFormat="1" ht="30">
      <c r="A1" s="25" t="s">
        <v>21</v>
      </c>
      <c r="B1" s="26" t="s">
        <v>83</v>
      </c>
      <c r="C1" s="26" t="s">
        <v>82</v>
      </c>
      <c r="D1" s="296" t="s">
        <v>0</v>
      </c>
      <c r="E1" s="26" t="s">
        <v>22</v>
      </c>
      <c r="F1" s="26" t="s">
        <v>23</v>
      </c>
      <c r="G1" s="26" t="s">
        <v>80</v>
      </c>
      <c r="H1" s="26" t="s">
        <v>200</v>
      </c>
      <c r="I1" s="26" t="s">
        <v>210</v>
      </c>
      <c r="J1" s="26" t="s">
        <v>208</v>
      </c>
      <c r="K1" s="26" t="s">
        <v>209</v>
      </c>
      <c r="L1" s="26" t="s">
        <v>58</v>
      </c>
      <c r="M1" s="26" t="s">
        <v>59</v>
      </c>
      <c r="N1" s="27" t="s">
        <v>205</v>
      </c>
      <c r="O1" s="27" t="s">
        <v>445</v>
      </c>
      <c r="P1" s="26" t="s">
        <v>198</v>
      </c>
      <c r="Q1" s="26" t="s">
        <v>496</v>
      </c>
      <c r="R1" s="37"/>
      <c r="S1" s="37"/>
      <c r="T1" s="37"/>
      <c r="X1"/>
      <c r="Y1"/>
      <c r="Z1"/>
      <c r="AA1"/>
      <c r="AB1"/>
      <c r="AC1"/>
      <c r="AD1"/>
      <c r="AE1"/>
    </row>
    <row r="2" spans="1:33">
      <c r="A2" s="308" t="s">
        <v>159</v>
      </c>
      <c r="B2" s="31" t="s">
        <v>51</v>
      </c>
      <c r="C2" s="31"/>
      <c r="D2" s="299"/>
      <c r="E2" s="6">
        <v>4</v>
      </c>
      <c r="F2" s="13">
        <v>0.22500000000000001</v>
      </c>
      <c r="G2" s="23" t="s">
        <v>358</v>
      </c>
      <c r="H2" s="23"/>
      <c r="I2" s="30">
        <v>13</v>
      </c>
      <c r="J2" s="30"/>
      <c r="K2" s="30"/>
      <c r="L2" s="6"/>
      <c r="M2" s="22"/>
      <c r="N2" s="6"/>
      <c r="O2" s="6"/>
      <c r="P2" s="31"/>
      <c r="Q2" s="5">
        <v>0.67500000000000004</v>
      </c>
    </row>
    <row r="3" spans="1:33">
      <c r="A3" s="308" t="s">
        <v>159</v>
      </c>
      <c r="B3" s="31" t="s">
        <v>149</v>
      </c>
      <c r="C3" s="31"/>
      <c r="D3" s="299"/>
      <c r="E3" s="6"/>
      <c r="F3" s="13"/>
      <c r="G3" s="23" t="s">
        <v>365</v>
      </c>
      <c r="H3" s="23"/>
      <c r="I3" s="30">
        <v>15</v>
      </c>
      <c r="J3" s="30"/>
      <c r="K3" s="30"/>
      <c r="L3" s="6"/>
      <c r="M3" s="22"/>
      <c r="N3" s="6"/>
      <c r="O3" s="6"/>
      <c r="P3" s="31"/>
      <c r="Q3" s="5"/>
    </row>
    <row r="4" spans="1:33">
      <c r="A4" s="308" t="s">
        <v>159</v>
      </c>
      <c r="B4" s="31" t="s">
        <v>154</v>
      </c>
      <c r="C4" s="31"/>
      <c r="D4" s="300"/>
      <c r="E4" s="11"/>
      <c r="F4" s="13"/>
      <c r="G4" s="23" t="s">
        <v>365</v>
      </c>
      <c r="H4" s="23"/>
      <c r="I4" s="30">
        <v>15</v>
      </c>
      <c r="J4" s="30"/>
      <c r="K4" s="30"/>
      <c r="L4" s="6"/>
      <c r="M4" s="22"/>
      <c r="N4" s="11"/>
      <c r="O4" s="11"/>
      <c r="P4" s="5"/>
      <c r="Q4" s="5"/>
    </row>
    <row r="5" spans="1:33">
      <c r="A5" s="24" t="s">
        <v>156</v>
      </c>
      <c r="B5" s="5" t="s">
        <v>278</v>
      </c>
      <c r="C5" s="5" t="s">
        <v>411</v>
      </c>
      <c r="D5" s="300" t="s">
        <v>204</v>
      </c>
      <c r="E5" s="11">
        <v>2</v>
      </c>
      <c r="F5" s="13">
        <v>21.6</v>
      </c>
      <c r="G5" s="23" t="s">
        <v>81</v>
      </c>
      <c r="H5" s="23"/>
      <c r="I5" s="30">
        <v>15</v>
      </c>
      <c r="J5" s="30"/>
      <c r="K5" s="30"/>
      <c r="L5" s="6"/>
      <c r="M5" s="22"/>
      <c r="N5" s="11"/>
      <c r="O5" s="11"/>
      <c r="P5" s="5"/>
      <c r="Q5" s="295"/>
      <c r="R5" s="303"/>
      <c r="S5" s="8"/>
      <c r="T5" s="8"/>
      <c r="U5" s="8"/>
    </row>
    <row r="6" spans="1:33">
      <c r="A6" s="24" t="s">
        <v>156</v>
      </c>
      <c r="B6" s="5" t="s">
        <v>85</v>
      </c>
      <c r="C6" s="5" t="s">
        <v>412</v>
      </c>
      <c r="D6" s="300"/>
      <c r="E6" s="11">
        <v>2</v>
      </c>
      <c r="F6" s="13">
        <v>14.85</v>
      </c>
      <c r="G6" s="23" t="s">
        <v>81</v>
      </c>
      <c r="H6" s="23"/>
      <c r="I6" s="30">
        <v>15</v>
      </c>
      <c r="J6" s="30"/>
      <c r="K6" s="30"/>
      <c r="L6" s="6"/>
      <c r="M6" s="22"/>
      <c r="N6" s="11"/>
      <c r="O6" s="11"/>
      <c r="P6" s="5"/>
      <c r="Q6" s="5"/>
    </row>
    <row r="7" spans="1:33">
      <c r="A7" s="24" t="s">
        <v>156</v>
      </c>
      <c r="B7" s="5" t="s">
        <v>42</v>
      </c>
      <c r="C7" s="5"/>
      <c r="D7" s="300"/>
      <c r="E7" s="11">
        <v>2</v>
      </c>
      <c r="F7" s="13">
        <v>15.6</v>
      </c>
      <c r="G7" s="23" t="s">
        <v>81</v>
      </c>
      <c r="H7" s="23"/>
      <c r="I7" s="30">
        <v>15</v>
      </c>
      <c r="J7" s="30"/>
      <c r="K7" s="30"/>
      <c r="L7" s="6"/>
      <c r="M7" s="22"/>
      <c r="N7" s="11"/>
      <c r="O7" s="11"/>
      <c r="P7" s="5"/>
      <c r="Q7" s="5"/>
      <c r="V7" s="7"/>
    </row>
    <row r="8" spans="1:33">
      <c r="A8" s="24" t="s">
        <v>156</v>
      </c>
      <c r="B8" s="5" t="s">
        <v>87</v>
      </c>
      <c r="C8" t="s">
        <v>413</v>
      </c>
      <c r="D8" s="300"/>
      <c r="E8" s="11">
        <v>2</v>
      </c>
      <c r="F8" s="13">
        <v>8.1</v>
      </c>
      <c r="G8" s="23" t="s">
        <v>81</v>
      </c>
      <c r="H8" s="23"/>
      <c r="I8" s="30">
        <v>15</v>
      </c>
      <c r="J8" s="30"/>
      <c r="K8" s="30"/>
      <c r="L8" s="6"/>
      <c r="M8" s="22"/>
      <c r="N8" s="11"/>
      <c r="O8" s="11"/>
      <c r="P8" s="5"/>
      <c r="Q8" s="5"/>
      <c r="V8" s="32" t="str" cm="1">
        <f t="array" ref="V8:AD8">TRANSPOSE(_xlfn._xlws.SORT(_xlfn.UNIQUE(Alkatrészek[Ügyfél])))</f>
        <v>Arsisco AMO Pack LLC</v>
      </c>
      <c r="W8" s="32" t="str">
        <v>Ela Solutions Kft.</v>
      </c>
      <c r="X8" s="32" t="str">
        <v>Fasten Italia S.R.L</v>
      </c>
      <c r="Y8" s="32" t="str">
        <v>Inter-Metal Recycling Kft.</v>
      </c>
      <c r="Z8" s="32" t="str">
        <v>Ligeti Péter</v>
      </c>
      <c r="AA8" s="32" t="str">
        <v>R-Plast Manufacturing Kft</v>
      </c>
      <c r="AB8" s="32" t="str">
        <v>R-Szerkterv Kft.</v>
      </c>
      <c r="AC8" s="32" t="str">
        <v>Seidel Gmbh&amp;co Kg</v>
      </c>
      <c r="AD8" s="32" t="str">
        <v>Systec Pos-Technology Gmbh</v>
      </c>
    </row>
    <row r="9" spans="1:33">
      <c r="A9" s="24" t="s">
        <v>156</v>
      </c>
      <c r="B9" s="5" t="s">
        <v>89</v>
      </c>
      <c r="C9" s="5" t="s">
        <v>414</v>
      </c>
      <c r="D9" s="300"/>
      <c r="E9" s="11">
        <v>2</v>
      </c>
      <c r="F9" s="13">
        <v>12</v>
      </c>
      <c r="G9" s="23" t="s">
        <v>81</v>
      </c>
      <c r="H9" s="23"/>
      <c r="I9" s="30">
        <v>15</v>
      </c>
      <c r="J9" s="30"/>
      <c r="K9" s="30"/>
      <c r="L9" s="6"/>
      <c r="M9" s="22"/>
      <c r="N9" s="11"/>
      <c r="O9" s="11"/>
      <c r="P9" s="5"/>
      <c r="Q9" s="5"/>
      <c r="V9" t="str" cm="1">
        <f t="array" ref="V9:V12">_xlfn._xlws.FILTER(Alkatrészek[Termék rajzszáma],Alkatrészek[Ügyfél]=V8,"")</f>
        <v>Fehér hüvely</v>
      </c>
      <c r="W9" t="str" cm="1">
        <f t="array" ref="W9:W58">_xlfn._xlws.FILTER(Alkatrészek[Termék rajzszáma],Alkatrészek[Ügyfél]=W8,"")</f>
        <v>90ZA-AD001-00</v>
      </c>
      <c r="X9" t="str" cm="1">
        <f t="array" ref="X9:X12">_xlfn._xlws.FILTER(Alkatrészek[Termék rajzszáma],Alkatrészek[Ügyfél]=X8,"")</f>
        <v>corpoP6 nyitó</v>
      </c>
      <c r="Y9" t="str" cm="1">
        <f t="array" ref="Y9:Y15">_xlfn._xlws.FILTER(Alkatrészek[Termék rajzszáma],Alkatrészek[Ügyfél]=Y8,"")</f>
        <v>Forgács Aluminium</v>
      </c>
      <c r="Z9" t="str" cm="1">
        <f t="array" ref="Z9">_xlfn._xlws.FILTER(Alkatrészek[Termék rajzszáma],Alkatrészek[Ügyfél]=Z8,"")</f>
        <v>nyersanyag</v>
      </c>
      <c r="AA9" t="str" cm="1">
        <f t="array" ref="AA9:AA13">_xlfn._xlws.FILTER(Alkatrészek[Termék rajzszáma],Alkatrészek[Ügyfél]=AA8,"")</f>
        <v>Magasságállító</v>
      </c>
      <c r="AB9" t="str" cm="1">
        <f t="array" ref="AB9:AB10">_xlfn._xlws.FILTER(Alkatrészek[Termék rajzszáma],Alkatrészek[Ügyfél]=AB8,"")</f>
        <v>M 400-2</v>
      </c>
      <c r="AC9" t="str" cm="1">
        <f t="array" ref="AC9:AC20">_xlfn._xlws.FILTER(Alkatrészek[Termék rajzszáma],Alkatrészek[Ügyfél]=AC8,"")</f>
        <v>B83</v>
      </c>
      <c r="AD9" t="str" cm="1">
        <f t="array" ref="AD9">_xlfn._xlws.FILTER(Alkatrészek[Termék megnevezés],Alkatrészek[Termék rajzszáma]=AD8,"")</f>
        <v/>
      </c>
      <c r="AE9" t="str" cm="1">
        <f t="array" ref="AE9">_xlfn._xlws.FILTER(Alkatrészek[Termék rajzszáma],Alkatrészek[Ügyfél]=AE8,"")</f>
        <v/>
      </c>
      <c r="AF9" t="str" cm="1">
        <f t="array" ref="AF9">_xlfn._xlws.FILTER(Alkatrészek[Termék rajzszáma],Alkatrészek[Ügyfél]=AF8,"")</f>
        <v/>
      </c>
      <c r="AG9" t="str" cm="1">
        <f t="array" ref="AG9">_xlfn._xlws.FILTER(Alkatrészek[Termék rajzszáma],Alkatrészek[Ügyfél]=AG8,"")</f>
        <v/>
      </c>
    </row>
    <row r="10" spans="1:33">
      <c r="A10" s="24" t="s">
        <v>156</v>
      </c>
      <c r="B10" s="5" t="s">
        <v>35</v>
      </c>
      <c r="C10" s="5"/>
      <c r="D10" s="300"/>
      <c r="E10" s="11">
        <v>2</v>
      </c>
      <c r="F10" s="13">
        <v>12.5</v>
      </c>
      <c r="G10" s="23" t="s">
        <v>81</v>
      </c>
      <c r="H10" s="23"/>
      <c r="I10" s="30">
        <v>15</v>
      </c>
      <c r="J10" s="30"/>
      <c r="K10" s="30"/>
      <c r="L10" s="6"/>
      <c r="M10" s="22"/>
      <c r="N10" s="11"/>
      <c r="O10" s="11"/>
      <c r="P10" s="5"/>
      <c r="Q10" s="5"/>
      <c r="V10" t="str">
        <v>Töltő sin</v>
      </c>
      <c r="W10" t="str">
        <v xml:space="preserve">90ZA-B001-06 </v>
      </c>
      <c r="X10" t="str">
        <v>P6 body</v>
      </c>
      <c r="Y10" t="str">
        <v>Forgács Rozsdamentés</v>
      </c>
      <c r="AA10" t="str">
        <v>Szíj rövid</v>
      </c>
      <c r="AB10" t="str">
        <v>M 400-4</v>
      </c>
      <c r="AC10" t="str">
        <v>B93</v>
      </c>
      <c r="AD10" t="str" cm="1">
        <f t="array" ref="AD10">_xlfn._xlws.FILTER(Alkatrészek[Termék megnevezés],Alkatrészek[Termék rajzszáma]=AD9,"")</f>
        <v/>
      </c>
    </row>
    <row r="11" spans="1:33">
      <c r="A11" s="24" t="s">
        <v>156</v>
      </c>
      <c r="B11" s="5" t="s">
        <v>91</v>
      </c>
      <c r="C11" s="5" t="s">
        <v>415</v>
      </c>
      <c r="D11" s="300"/>
      <c r="E11" s="11">
        <v>2</v>
      </c>
      <c r="F11" s="13">
        <v>17.399999999999999</v>
      </c>
      <c r="G11" s="23" t="s">
        <v>81</v>
      </c>
      <c r="H11" s="23"/>
      <c r="I11" s="30">
        <v>15</v>
      </c>
      <c r="J11" s="30"/>
      <c r="K11" s="30"/>
      <c r="L11" s="6"/>
      <c r="M11" s="22"/>
      <c r="N11" s="11"/>
      <c r="O11" s="11"/>
      <c r="P11" s="5"/>
      <c r="Q11" s="5"/>
      <c r="V11" t="str">
        <v>Lánctalp</v>
      </c>
      <c r="W11" t="str">
        <v>90ZA-B003-06</v>
      </c>
      <c r="X11" t="str">
        <v>YKK fogó</v>
      </c>
      <c r="Y11" t="str">
        <v>Forgács Vas</v>
      </c>
      <c r="AA11" t="str">
        <v>Szíj hosszú</v>
      </c>
      <c r="AC11" t="str">
        <v>M66</v>
      </c>
      <c r="AD11" t="str" cm="1">
        <f t="array" ref="AD11">_xlfn._xlws.FILTER(Alkatrészek[Termék megnevezés],Alkatrészek[Termék rajzszáma]=AD10,"")</f>
        <v/>
      </c>
    </row>
    <row r="12" spans="1:33">
      <c r="A12" s="24" t="s">
        <v>156</v>
      </c>
      <c r="B12" s="5" t="s">
        <v>93</v>
      </c>
      <c r="C12" s="5" t="s">
        <v>416</v>
      </c>
      <c r="D12" s="300"/>
      <c r="E12" s="11">
        <v>2</v>
      </c>
      <c r="F12" s="13">
        <v>7</v>
      </c>
      <c r="G12" s="23" t="s">
        <v>81</v>
      </c>
      <c r="H12" s="23"/>
      <c r="I12" s="30">
        <v>15</v>
      </c>
      <c r="J12" s="30"/>
      <c r="K12" s="30"/>
      <c r="L12" s="6"/>
      <c r="M12" s="22"/>
      <c r="N12" s="11"/>
      <c r="O12" s="11"/>
      <c r="P12" s="5"/>
      <c r="Q12" s="5"/>
      <c r="V12" t="str">
        <v>Sín 5</v>
      </c>
      <c r="W12" t="str">
        <v xml:space="preserve">90ZA-B004-06 </v>
      </c>
      <c r="X12" t="str">
        <v>P6 body szerszám</v>
      </c>
      <c r="Y12" t="str">
        <v>Forgács Vegyes</v>
      </c>
      <c r="AA12" t="str">
        <v>Pánt</v>
      </c>
      <c r="AC12" t="str">
        <v>M70</v>
      </c>
      <c r="AD12" t="str" cm="1">
        <f t="array" ref="AD12">_xlfn._xlws.FILTER(Alkatrészek[Termék megnevezés],Alkatrészek[Termék rajzszáma]=AD11,"")</f>
        <v/>
      </c>
    </row>
    <row r="13" spans="1:33">
      <c r="A13" s="24" t="s">
        <v>156</v>
      </c>
      <c r="B13" s="5" t="s">
        <v>95</v>
      </c>
      <c r="C13" s="5" t="s">
        <v>417</v>
      </c>
      <c r="D13" s="300"/>
      <c r="E13" s="11">
        <v>2</v>
      </c>
      <c r="F13" s="13">
        <v>12.200000000000001</v>
      </c>
      <c r="G13" s="23" t="s">
        <v>81</v>
      </c>
      <c r="H13" s="23"/>
      <c r="I13" s="30">
        <v>15</v>
      </c>
      <c r="J13" s="30"/>
      <c r="K13" s="30"/>
      <c r="L13" s="6"/>
      <c r="M13" s="22"/>
      <c r="N13" s="11"/>
      <c r="O13" s="11"/>
      <c r="P13" s="5"/>
      <c r="Q13" s="5"/>
      <c r="W13" t="str">
        <v xml:space="preserve">90ZA-B007-04 </v>
      </c>
      <c r="Y13" t="str">
        <v>Vas lemez hulladék</v>
      </c>
      <c r="AA13" t="str">
        <v>Szíj doboz</v>
      </c>
      <c r="AC13" t="str">
        <v>M83</v>
      </c>
      <c r="AD13" t="str" cm="1">
        <f t="array" ref="AD13">_xlfn._xlws.FILTER(Alkatrészek[Termék megnevezés],Alkatrészek[Termék rajzszáma]=AD12,"")</f>
        <v/>
      </c>
    </row>
    <row r="14" spans="1:33">
      <c r="A14" s="24" t="s">
        <v>156</v>
      </c>
      <c r="B14" s="5" t="s">
        <v>97</v>
      </c>
      <c r="C14" s="5" t="s">
        <v>418</v>
      </c>
      <c r="D14" s="300"/>
      <c r="E14" s="11">
        <v>2</v>
      </c>
      <c r="F14" s="13">
        <v>24.5</v>
      </c>
      <c r="G14" s="23" t="s">
        <v>81</v>
      </c>
      <c r="H14" s="23"/>
      <c r="I14" s="30">
        <v>15</v>
      </c>
      <c r="J14" s="30"/>
      <c r="K14" s="30"/>
      <c r="L14" s="6"/>
      <c r="M14" s="22"/>
      <c r="N14" s="11"/>
      <c r="O14" s="11"/>
      <c r="P14" s="5"/>
      <c r="Q14" s="5"/>
      <c r="W14" t="str">
        <v>90ZA-B008-04</v>
      </c>
      <c r="Y14" t="str">
        <v>Csöpedék - Horgany</v>
      </c>
      <c r="AC14" t="str">
        <v>MA41</v>
      </c>
      <c r="AD14" t="str" cm="1">
        <f t="array" ref="AD14">_xlfn._xlws.FILTER(Alkatrészek[Termék megnevezés],Alkatrészek[Termék rajzszáma]=AD13,"")</f>
        <v/>
      </c>
    </row>
    <row r="15" spans="1:33">
      <c r="A15" s="24" t="s">
        <v>156</v>
      </c>
      <c r="B15" s="5" t="s">
        <v>99</v>
      </c>
      <c r="C15" s="5" t="s">
        <v>418</v>
      </c>
      <c r="D15" s="300"/>
      <c r="E15" s="11">
        <v>2</v>
      </c>
      <c r="F15" s="13">
        <v>18.5</v>
      </c>
      <c r="G15" s="23" t="s">
        <v>81</v>
      </c>
      <c r="H15" s="23"/>
      <c r="I15" s="30">
        <v>15</v>
      </c>
      <c r="J15" s="30"/>
      <c r="K15" s="30"/>
      <c r="L15" s="6"/>
      <c r="M15" s="22"/>
      <c r="N15" s="11"/>
      <c r="O15" s="11"/>
      <c r="P15" s="5"/>
      <c r="Q15" s="5"/>
      <c r="W15" t="str">
        <v xml:space="preserve">90ZA-B009-04 </v>
      </c>
      <c r="Y15" t="str">
        <v>Réz</v>
      </c>
      <c r="AC15" t="str">
        <v>MA51</v>
      </c>
      <c r="AD15" t="str" cm="1">
        <f t="array" ref="AD15">_xlfn._xlws.FILTER(Alkatrészek[Termék megnevezés],Alkatrészek[Termék rajzszáma]=AD14,"")</f>
        <v/>
      </c>
    </row>
    <row r="16" spans="1:33">
      <c r="A16" s="24" t="s">
        <v>156</v>
      </c>
      <c r="B16" s="5" t="s">
        <v>100</v>
      </c>
      <c r="C16" s="5" t="s">
        <v>418</v>
      </c>
      <c r="D16" s="300"/>
      <c r="E16" s="11">
        <v>2</v>
      </c>
      <c r="F16" s="13">
        <v>8.3000000000000007</v>
      </c>
      <c r="G16" s="23" t="s">
        <v>81</v>
      </c>
      <c r="H16" s="23"/>
      <c r="I16" s="30">
        <v>15</v>
      </c>
      <c r="J16" s="30"/>
      <c r="K16" s="30"/>
      <c r="L16" s="6"/>
      <c r="M16" s="22"/>
      <c r="N16" s="11"/>
      <c r="O16" s="11"/>
      <c r="P16" s="5"/>
      <c r="Q16" s="5"/>
      <c r="W16" t="str">
        <v xml:space="preserve">90ZA-B010-04 </v>
      </c>
      <c r="AC16" t="str">
        <v>MA62</v>
      </c>
      <c r="AD16" t="str" cm="1">
        <f t="array" ref="AD16">_xlfn._xlws.FILTER(Alkatrészek[Termék megnevezés],Alkatrészek[Termék rajzszáma]=AD15,"")</f>
        <v/>
      </c>
    </row>
    <row r="17" spans="1:30">
      <c r="A17" s="24" t="s">
        <v>156</v>
      </c>
      <c r="B17" s="5" t="s">
        <v>101</v>
      </c>
      <c r="C17" s="5" t="s">
        <v>419</v>
      </c>
      <c r="D17" s="300"/>
      <c r="E17" s="11">
        <v>2</v>
      </c>
      <c r="F17" s="13">
        <v>92.53</v>
      </c>
      <c r="G17" s="23" t="s">
        <v>81</v>
      </c>
      <c r="H17" s="23"/>
      <c r="I17" s="30">
        <v>15</v>
      </c>
      <c r="J17" s="30"/>
      <c r="K17" s="30"/>
      <c r="L17" s="6"/>
      <c r="M17" s="22"/>
      <c r="N17" s="11"/>
      <c r="O17" s="11"/>
      <c r="P17" s="5"/>
      <c r="Q17" s="5"/>
      <c r="W17" t="str">
        <v xml:space="preserve">90ZA-B012-06 </v>
      </c>
      <c r="AC17" t="str">
        <v>MA66</v>
      </c>
      <c r="AD17" t="str" cm="1">
        <f t="array" ref="AD17">_xlfn._xlws.FILTER(Alkatrészek[Termék megnevezés],Alkatrészek[Termék rajzszáma]=AD16,"")</f>
        <v/>
      </c>
    </row>
    <row r="18" spans="1:30">
      <c r="A18" s="24" t="s">
        <v>156</v>
      </c>
      <c r="B18" s="5" t="s">
        <v>103</v>
      </c>
      <c r="C18" s="5" t="s">
        <v>419</v>
      </c>
      <c r="D18" s="300"/>
      <c r="E18" s="11">
        <v>2</v>
      </c>
      <c r="F18" s="13">
        <v>92.56</v>
      </c>
      <c r="G18" s="23" t="s">
        <v>81</v>
      </c>
      <c r="H18" s="23"/>
      <c r="I18" s="30">
        <v>15</v>
      </c>
      <c r="J18" s="30"/>
      <c r="K18" s="30"/>
      <c r="L18" s="6"/>
      <c r="M18" s="22"/>
      <c r="N18" s="11"/>
      <c r="O18" s="11"/>
      <c r="P18" s="5"/>
      <c r="Q18" s="5"/>
      <c r="W18" t="str">
        <v xml:space="preserve">90ZA-H001-06 </v>
      </c>
      <c r="AC18" t="str">
        <v>MB01</v>
      </c>
      <c r="AD18" t="str" cm="1">
        <f t="array" ref="AD18">_xlfn._xlws.FILTER(Alkatrészek[Termék megnevezés],Alkatrészek[Termék rajzszáma]=AD17,"")</f>
        <v/>
      </c>
    </row>
    <row r="19" spans="1:30">
      <c r="A19" s="24" t="s">
        <v>156</v>
      </c>
      <c r="B19" s="5" t="s">
        <v>104</v>
      </c>
      <c r="C19" s="5" t="s">
        <v>420</v>
      </c>
      <c r="D19" s="300"/>
      <c r="E19" s="11">
        <v>6</v>
      </c>
      <c r="F19" s="13">
        <v>8.3000000000000007</v>
      </c>
      <c r="G19" s="23" t="s">
        <v>81</v>
      </c>
      <c r="H19" s="23"/>
      <c r="I19" s="30">
        <v>15</v>
      </c>
      <c r="J19" s="30"/>
      <c r="K19" s="30"/>
      <c r="L19" s="6"/>
      <c r="M19" s="22"/>
      <c r="N19" s="11"/>
      <c r="O19" s="11"/>
      <c r="P19" s="5"/>
      <c r="Q19" s="5"/>
      <c r="W19" t="str">
        <v xml:space="preserve">90ZA-H002-06 </v>
      </c>
      <c r="AC19" t="str">
        <v>MB22</v>
      </c>
      <c r="AD19" t="str" cm="1">
        <f t="array" ref="AD19">_xlfn._xlws.FILTER(Alkatrészek[Termék megnevezés],Alkatrészek[Termék rajzszáma]=AD18,"")</f>
        <v/>
      </c>
    </row>
    <row r="20" spans="1:30">
      <c r="A20" s="24" t="s">
        <v>156</v>
      </c>
      <c r="B20" s="5" t="s">
        <v>104</v>
      </c>
      <c r="C20" s="5" t="s">
        <v>421</v>
      </c>
      <c r="D20" s="300"/>
      <c r="E20" s="11">
        <v>6</v>
      </c>
      <c r="F20" s="13">
        <v>8.3000000000000007</v>
      </c>
      <c r="G20" s="23" t="s">
        <v>81</v>
      </c>
      <c r="H20" s="23"/>
      <c r="I20" s="30">
        <v>15</v>
      </c>
      <c r="J20" s="30"/>
      <c r="K20" s="30"/>
      <c r="L20" s="6"/>
      <c r="M20" s="22"/>
      <c r="N20" s="11"/>
      <c r="O20" s="11"/>
      <c r="P20" s="5"/>
      <c r="Q20" s="5"/>
      <c r="W20" t="str">
        <v xml:space="preserve">90ZA-H005-04 </v>
      </c>
      <c r="AC20" t="str">
        <v>MB44</v>
      </c>
      <c r="AD20" t="str" cm="1">
        <f t="array" ref="AD20">_xlfn._xlws.FILTER(Alkatrészek[Termék megnevezés],Alkatrészek[Termék rajzszáma]=AD19,"")</f>
        <v/>
      </c>
    </row>
    <row r="21" spans="1:30">
      <c r="A21" s="24" t="s">
        <v>156</v>
      </c>
      <c r="B21" s="5" t="s">
        <v>106</v>
      </c>
      <c r="C21" s="5" t="s">
        <v>422</v>
      </c>
      <c r="D21" s="300"/>
      <c r="E21" s="11">
        <v>6</v>
      </c>
      <c r="F21" s="13">
        <v>2.5</v>
      </c>
      <c r="G21" s="23" t="s">
        <v>81</v>
      </c>
      <c r="H21" s="23"/>
      <c r="I21" s="30">
        <v>15</v>
      </c>
      <c r="J21" s="30"/>
      <c r="K21" s="30"/>
      <c r="L21" s="6"/>
      <c r="M21" s="22"/>
      <c r="N21" s="11"/>
      <c r="O21" s="11"/>
      <c r="P21" s="5"/>
      <c r="Q21" s="5"/>
      <c r="W21" t="str">
        <v xml:space="preserve">90ZA-H020-06 </v>
      </c>
      <c r="AD21" t="str" cm="1">
        <f t="array" ref="AD21">_xlfn._xlws.FILTER(Alkatrészek[Termék megnevezés],Alkatrészek[Termék rajzszáma]=AD20,"")</f>
        <v/>
      </c>
    </row>
    <row r="22" spans="1:30">
      <c r="A22" s="24" t="s">
        <v>156</v>
      </c>
      <c r="B22" s="5" t="s">
        <v>36</v>
      </c>
      <c r="C22" s="5"/>
      <c r="D22" s="300"/>
      <c r="E22" s="11">
        <v>4</v>
      </c>
      <c r="F22" s="13">
        <v>5.2</v>
      </c>
      <c r="G22" s="23" t="s">
        <v>81</v>
      </c>
      <c r="H22" s="23"/>
      <c r="I22" s="30">
        <v>15</v>
      </c>
      <c r="J22" s="30"/>
      <c r="K22" s="30"/>
      <c r="L22" s="6"/>
      <c r="M22" s="22"/>
      <c r="N22" s="11"/>
      <c r="O22" s="11"/>
      <c r="P22" s="5"/>
      <c r="Q22" s="5"/>
      <c r="W22" t="str">
        <v xml:space="preserve">90ZA-H021-06 </v>
      </c>
      <c r="AD22" t="str" cm="1">
        <f t="array" ref="AD22">_xlfn._xlws.FILTER(Alkatrészek[Termék megnevezés],Alkatrészek[Termék rajzszáma]=AD21,"")</f>
        <v/>
      </c>
    </row>
    <row r="23" spans="1:30">
      <c r="A23" s="24" t="s">
        <v>156</v>
      </c>
      <c r="B23" s="5" t="s">
        <v>108</v>
      </c>
      <c r="C23" s="5" t="s">
        <v>423</v>
      </c>
      <c r="D23" s="300"/>
      <c r="E23" s="11">
        <v>2</v>
      </c>
      <c r="F23" s="13">
        <v>14.9</v>
      </c>
      <c r="G23" s="23" t="s">
        <v>81</v>
      </c>
      <c r="H23" s="23"/>
      <c r="I23" s="30">
        <v>15</v>
      </c>
      <c r="J23" s="30"/>
      <c r="K23" s="30"/>
      <c r="L23" s="6"/>
      <c r="M23" s="22"/>
      <c r="N23" s="11"/>
      <c r="O23" s="11"/>
      <c r="P23" s="5"/>
      <c r="Q23" s="5"/>
      <c r="W23" t="str">
        <v xml:space="preserve">90ZA-HT001-00 </v>
      </c>
      <c r="AD23" t="str" cm="1">
        <f t="array" ref="AD23">_xlfn._xlws.FILTER(Alkatrészek[Termék megnevezés],Alkatrészek[Termék rajzszáma]=AD22,"")</f>
        <v/>
      </c>
    </row>
    <row r="24" spans="1:30">
      <c r="A24" s="24" t="s">
        <v>156</v>
      </c>
      <c r="B24" s="5" t="s">
        <v>41</v>
      </c>
      <c r="C24" s="5"/>
      <c r="D24" s="300"/>
      <c r="E24" s="11">
        <v>2</v>
      </c>
      <c r="F24" s="13">
        <v>22.34</v>
      </c>
      <c r="G24" s="23" t="s">
        <v>81</v>
      </c>
      <c r="H24" s="23"/>
      <c r="I24" s="30">
        <v>15</v>
      </c>
      <c r="J24" s="30"/>
      <c r="K24" s="30"/>
      <c r="L24" s="6"/>
      <c r="M24" s="22"/>
      <c r="N24" s="11"/>
      <c r="O24" s="11"/>
      <c r="P24" s="5"/>
      <c r="Q24" s="5"/>
      <c r="W24" t="str">
        <v xml:space="preserve">90ZA-HT001-00 </v>
      </c>
      <c r="AD24" t="str" cm="1">
        <f t="array" ref="AD24">_xlfn._xlws.FILTER(Alkatrészek[Termék megnevezés],Alkatrészek[Termék rajzszáma]=AD23,"")</f>
        <v/>
      </c>
    </row>
    <row r="25" spans="1:30">
      <c r="A25" s="24" t="s">
        <v>156</v>
      </c>
      <c r="B25" s="5" t="s">
        <v>110</v>
      </c>
      <c r="C25" s="5" t="s">
        <v>410</v>
      </c>
      <c r="D25" s="300"/>
      <c r="E25" s="11">
        <v>2</v>
      </c>
      <c r="F25" s="13">
        <v>23.599999999999998</v>
      </c>
      <c r="G25" s="23" t="s">
        <v>81</v>
      </c>
      <c r="H25" s="23"/>
      <c r="I25" s="30">
        <v>15</v>
      </c>
      <c r="J25" s="30"/>
      <c r="K25" s="30"/>
      <c r="L25" s="6"/>
      <c r="M25" s="22"/>
      <c r="N25" s="11"/>
      <c r="O25" s="11"/>
      <c r="P25" s="5"/>
      <c r="Q25" s="5"/>
      <c r="W25" t="str">
        <v xml:space="preserve">90ZA-HT002-00 </v>
      </c>
      <c r="AD25" t="str" cm="1">
        <f t="array" ref="AD25">_xlfn._xlws.FILTER(Alkatrészek[Termék megnevezés],Alkatrészek[Termék rajzszáma]=AD24,"")</f>
        <v/>
      </c>
    </row>
    <row r="26" spans="1:30">
      <c r="A26" s="24" t="s">
        <v>156</v>
      </c>
      <c r="B26" s="5" t="s">
        <v>144</v>
      </c>
      <c r="C26" s="5" t="s">
        <v>145</v>
      </c>
      <c r="D26" s="300"/>
      <c r="E26" s="11">
        <v>2</v>
      </c>
      <c r="F26" s="13">
        <v>25.3</v>
      </c>
      <c r="G26" s="23" t="s">
        <v>81</v>
      </c>
      <c r="H26" s="23"/>
      <c r="I26" s="30">
        <v>15</v>
      </c>
      <c r="J26" s="30"/>
      <c r="K26" s="30"/>
      <c r="L26" s="6"/>
      <c r="M26" s="22"/>
      <c r="N26" s="11"/>
      <c r="O26" s="11"/>
      <c r="P26" s="5"/>
      <c r="Q26" s="5"/>
      <c r="W26" t="str">
        <v>90ZA-HT004-00</v>
      </c>
      <c r="AD26" t="str" cm="1">
        <f t="array" ref="AD26">_xlfn._xlws.FILTER(Alkatrészek[Termék megnevezés],Alkatrészek[Termék rajzszáma]=AD25,"")</f>
        <v/>
      </c>
    </row>
    <row r="27" spans="1:30">
      <c r="A27" s="24" t="s">
        <v>156</v>
      </c>
      <c r="B27" s="12" t="s">
        <v>112</v>
      </c>
      <c r="C27" s="12" t="s">
        <v>409</v>
      </c>
      <c r="D27" s="298"/>
      <c r="E27" s="15">
        <v>2</v>
      </c>
      <c r="F27" s="13">
        <v>22.8</v>
      </c>
      <c r="G27" s="23" t="s">
        <v>81</v>
      </c>
      <c r="H27" s="23"/>
      <c r="I27" s="30">
        <v>15</v>
      </c>
      <c r="J27" s="30"/>
      <c r="K27" s="30"/>
      <c r="L27" s="6"/>
      <c r="M27" s="22"/>
      <c r="N27" s="11"/>
      <c r="O27" s="11"/>
      <c r="P27" s="5"/>
      <c r="Q27" s="5"/>
      <c r="W27" t="str">
        <v xml:space="preserve">90ZA-NY001-00 </v>
      </c>
      <c r="AD27" t="str" cm="1">
        <f t="array" ref="AD27">_xlfn._xlws.FILTER(Alkatrészek[Termék megnevezés],Alkatrészek[Termék rajzszáma]=AD26,"")</f>
        <v/>
      </c>
    </row>
    <row r="28" spans="1:30">
      <c r="A28" s="24" t="s">
        <v>156</v>
      </c>
      <c r="B28" s="12" t="s">
        <v>37</v>
      </c>
      <c r="C28" s="12"/>
      <c r="D28" s="298"/>
      <c r="E28" s="15">
        <v>2</v>
      </c>
      <c r="F28" s="13">
        <v>21.7</v>
      </c>
      <c r="G28" s="23" t="s">
        <v>81</v>
      </c>
      <c r="H28" s="23"/>
      <c r="I28" s="30">
        <v>15</v>
      </c>
      <c r="J28" s="30"/>
      <c r="K28" s="30"/>
      <c r="L28" s="6"/>
      <c r="M28" s="22"/>
      <c r="N28" s="11"/>
      <c r="O28" s="11"/>
      <c r="P28" s="5"/>
      <c r="Q28" s="5"/>
      <c r="W28" t="str">
        <v>90ZA-ZK001-06</v>
      </c>
      <c r="AD28" t="str" cm="1">
        <f t="array" ref="AD28">_xlfn._xlws.FILTER(Alkatrészek[Termék megnevezés],Alkatrészek[Termék rajzszáma]=AD27,"")</f>
        <v/>
      </c>
    </row>
    <row r="29" spans="1:30">
      <c r="A29" s="24" t="s">
        <v>156</v>
      </c>
      <c r="B29" s="12" t="s">
        <v>114</v>
      </c>
      <c r="C29" s="12" t="s">
        <v>424</v>
      </c>
      <c r="D29" s="298"/>
      <c r="E29" s="15">
        <v>1</v>
      </c>
      <c r="F29" s="13">
        <v>60.9</v>
      </c>
      <c r="G29" s="23" t="s">
        <v>81</v>
      </c>
      <c r="H29" s="23"/>
      <c r="I29" s="30">
        <v>15</v>
      </c>
      <c r="J29" s="30"/>
      <c r="K29" s="30"/>
      <c r="L29" s="6"/>
      <c r="M29" s="22"/>
      <c r="N29" s="11"/>
      <c r="O29" s="11"/>
      <c r="P29" s="5"/>
      <c r="Q29" s="5"/>
      <c r="W29" t="str">
        <v xml:space="preserve">90ZA-ZK006-06 </v>
      </c>
      <c r="AD29" t="str" cm="1">
        <f t="array" ref="AD29">_xlfn._xlws.FILTER(Alkatrészek[Termék megnevezés],Alkatrészek[Termék rajzszáma]=AD28,"")</f>
        <v/>
      </c>
    </row>
    <row r="30" spans="1:30">
      <c r="A30" s="24" t="s">
        <v>156</v>
      </c>
      <c r="B30" s="12" t="s">
        <v>116</v>
      </c>
      <c r="C30" s="12" t="s">
        <v>425</v>
      </c>
      <c r="D30" s="298"/>
      <c r="E30" s="15">
        <v>2</v>
      </c>
      <c r="F30" s="13">
        <v>47.550000000000004</v>
      </c>
      <c r="G30" s="23" t="s">
        <v>81</v>
      </c>
      <c r="H30" s="23"/>
      <c r="I30" s="30">
        <v>15</v>
      </c>
      <c r="J30" s="30"/>
      <c r="K30" s="30"/>
      <c r="L30" s="6"/>
      <c r="M30" s="22"/>
      <c r="N30" s="11"/>
      <c r="O30" s="11"/>
      <c r="P30" s="5"/>
      <c r="Q30" s="5"/>
      <c r="W30" t="str">
        <v xml:space="preserve">90ZA-ZK007-06 </v>
      </c>
      <c r="AD30" t="str" cm="1">
        <f t="array" ref="AD30">_xlfn._xlws.FILTER(Alkatrészek[Termék megnevezés],Alkatrészek[Termék rajzszáma]=AD29,"")</f>
        <v/>
      </c>
    </row>
    <row r="31" spans="1:30">
      <c r="A31" s="24" t="s">
        <v>156</v>
      </c>
      <c r="B31" s="12" t="s">
        <v>118</v>
      </c>
      <c r="C31" s="12" t="s">
        <v>426</v>
      </c>
      <c r="D31" s="298"/>
      <c r="E31" s="15">
        <v>2</v>
      </c>
      <c r="F31" s="13">
        <v>47.3</v>
      </c>
      <c r="G31" s="23" t="s">
        <v>81</v>
      </c>
      <c r="H31" s="23"/>
      <c r="I31" s="30">
        <v>15</v>
      </c>
      <c r="J31" s="30"/>
      <c r="K31" s="30"/>
      <c r="L31" s="6"/>
      <c r="M31" s="22"/>
      <c r="N31" s="11"/>
      <c r="O31" s="11"/>
      <c r="P31" s="5"/>
      <c r="Q31" s="5"/>
      <c r="W31" t="str">
        <v xml:space="preserve">90ZA-ZK008-06 </v>
      </c>
      <c r="AD31" t="str" cm="1">
        <f t="array" ref="AD31">_xlfn._xlws.FILTER(Alkatrészek[Termék megnevezés],Alkatrészek[Termék rajzszáma]=AD30,"")</f>
        <v/>
      </c>
    </row>
    <row r="32" spans="1:30">
      <c r="A32" s="24" t="s">
        <v>156</v>
      </c>
      <c r="B32" s="12" t="s">
        <v>120</v>
      </c>
      <c r="C32" s="12" t="s">
        <v>427</v>
      </c>
      <c r="D32" s="298"/>
      <c r="E32" s="15">
        <v>2</v>
      </c>
      <c r="F32" s="13">
        <v>15</v>
      </c>
      <c r="G32" s="23" t="s">
        <v>81</v>
      </c>
      <c r="H32" s="23"/>
      <c r="I32" s="30">
        <v>15</v>
      </c>
      <c r="J32" s="30"/>
      <c r="K32" s="30"/>
      <c r="L32" s="6"/>
      <c r="M32" s="22"/>
      <c r="N32" s="11"/>
      <c r="O32" s="11"/>
      <c r="P32" s="5"/>
      <c r="Q32" s="5"/>
      <c r="W32" t="str">
        <v>90ZA-ZK009-06</v>
      </c>
      <c r="AD32" t="str" cm="1">
        <f t="array" ref="AD32">_xlfn._xlws.FILTER(Alkatrészek[Termék megnevezés],Alkatrészek[Termék rajzszáma]=AD31,"")</f>
        <v/>
      </c>
    </row>
    <row r="33" spans="1:30">
      <c r="A33" s="24" t="s">
        <v>156</v>
      </c>
      <c r="B33" s="12" t="s">
        <v>122</v>
      </c>
      <c r="C33" s="12" t="s">
        <v>428</v>
      </c>
      <c r="D33" s="298"/>
      <c r="E33" s="15">
        <v>2</v>
      </c>
      <c r="F33" s="13">
        <v>20.8</v>
      </c>
      <c r="G33" s="23" t="s">
        <v>81</v>
      </c>
      <c r="H33" s="23"/>
      <c r="I33" s="30">
        <v>15</v>
      </c>
      <c r="J33" s="30"/>
      <c r="K33" s="30"/>
      <c r="L33" s="6"/>
      <c r="M33" s="22"/>
      <c r="N33" s="11"/>
      <c r="O33" s="11"/>
      <c r="P33" s="5"/>
      <c r="Q33" s="5"/>
      <c r="W33" t="str">
        <v xml:space="preserve">90ZA-ZK010-06  </v>
      </c>
      <c r="AD33" t="str" cm="1">
        <f t="array" ref="AD33">_xlfn._xlws.FILTER(Alkatrészek[Termék megnevezés],Alkatrészek[Termék rajzszáma]=AD32,"")</f>
        <v/>
      </c>
    </row>
    <row r="34" spans="1:30">
      <c r="A34" s="24" t="s">
        <v>156</v>
      </c>
      <c r="B34" s="12" t="s">
        <v>146</v>
      </c>
      <c r="C34" s="12" t="s">
        <v>429</v>
      </c>
      <c r="D34" s="298"/>
      <c r="E34" s="15">
        <v>2</v>
      </c>
      <c r="F34" s="13">
        <v>70</v>
      </c>
      <c r="G34" s="23" t="s">
        <v>81</v>
      </c>
      <c r="H34" s="23"/>
      <c r="I34" s="30">
        <v>15</v>
      </c>
      <c r="J34" s="30"/>
      <c r="K34" s="30"/>
      <c r="L34" s="6"/>
      <c r="M34" s="22"/>
      <c r="N34" s="11"/>
      <c r="O34" s="11"/>
      <c r="P34" s="5"/>
      <c r="Q34" s="5"/>
      <c r="W34" t="str">
        <v xml:space="preserve">90ZA-ZK011-06 </v>
      </c>
      <c r="AD34" t="str" cm="1">
        <f t="array" ref="AD34">_xlfn._xlws.FILTER(Alkatrészek[Termék megnevezés],Alkatrészek[Termék rajzszáma]=AD33,"")</f>
        <v/>
      </c>
    </row>
    <row r="35" spans="1:30">
      <c r="A35" s="24" t="s">
        <v>156</v>
      </c>
      <c r="B35" s="12" t="s">
        <v>124</v>
      </c>
      <c r="C35" s="12" t="s">
        <v>429</v>
      </c>
      <c r="D35" s="298"/>
      <c r="E35" s="15">
        <v>2</v>
      </c>
      <c r="F35" s="13">
        <v>81.72</v>
      </c>
      <c r="G35" s="23" t="s">
        <v>81</v>
      </c>
      <c r="H35" s="23"/>
      <c r="I35" s="30">
        <v>15</v>
      </c>
      <c r="J35" s="30"/>
      <c r="K35" s="30"/>
      <c r="L35" s="6"/>
      <c r="M35" s="22"/>
      <c r="N35" s="11"/>
      <c r="O35" s="11"/>
      <c r="P35" s="5"/>
      <c r="Q35" s="5"/>
      <c r="W35" t="str">
        <v xml:space="preserve">90ZA-ZK012-06 </v>
      </c>
      <c r="AD35" t="str" cm="1">
        <f t="array" ref="AD35">_xlfn._xlws.FILTER(Alkatrészek[Termék megnevezés],Alkatrészek[Termék rajzszáma]=AD34,"")</f>
        <v/>
      </c>
    </row>
    <row r="36" spans="1:30">
      <c r="A36" s="24" t="s">
        <v>156</v>
      </c>
      <c r="B36" s="12" t="s">
        <v>126</v>
      </c>
      <c r="C36" s="12" t="s">
        <v>429</v>
      </c>
      <c r="D36" s="298"/>
      <c r="E36" s="15">
        <v>2</v>
      </c>
      <c r="F36" s="13">
        <v>52.6</v>
      </c>
      <c r="G36" s="23" t="s">
        <v>81</v>
      </c>
      <c r="H36" s="23"/>
      <c r="I36" s="30">
        <v>15</v>
      </c>
      <c r="J36" s="30"/>
      <c r="K36" s="30"/>
      <c r="L36" s="6"/>
      <c r="M36" s="22"/>
      <c r="N36" s="11"/>
      <c r="O36" s="11"/>
      <c r="P36" s="5"/>
      <c r="Q36" s="5"/>
      <c r="W36" t="str">
        <v xml:space="preserve">90ZA-ZS001-06 </v>
      </c>
      <c r="AD36" t="str" cm="1">
        <f t="array" ref="AD36">_xlfn._xlws.FILTER(Alkatrészek[Termék megnevezés],Alkatrészek[Termék rajzszáma]=AD35,"")</f>
        <v/>
      </c>
    </row>
    <row r="37" spans="1:30">
      <c r="A37" s="24" t="s">
        <v>156</v>
      </c>
      <c r="B37" s="12" t="s">
        <v>127</v>
      </c>
      <c r="C37" s="12" t="s">
        <v>430</v>
      </c>
      <c r="D37" s="298"/>
      <c r="E37" s="15">
        <v>1</v>
      </c>
      <c r="F37" s="13">
        <v>0</v>
      </c>
      <c r="G37" s="23" t="s">
        <v>81</v>
      </c>
      <c r="H37" s="23"/>
      <c r="I37" s="30">
        <v>15</v>
      </c>
      <c r="J37" s="30"/>
      <c r="K37" s="30"/>
      <c r="L37" s="6"/>
      <c r="M37" s="22"/>
      <c r="N37" s="11"/>
      <c r="O37" s="11"/>
      <c r="P37" s="5"/>
      <c r="Q37" s="5"/>
      <c r="W37" t="str">
        <v xml:space="preserve">90ZA-ZS002-06 </v>
      </c>
      <c r="AD37" t="str" cm="1">
        <f t="array" ref="AD37">_xlfn._xlws.FILTER(Alkatrészek[Termék megnevezés],Alkatrészek[Termék rajzszáma]=AD36,"")</f>
        <v/>
      </c>
    </row>
    <row r="38" spans="1:30">
      <c r="A38" s="24" t="s">
        <v>156</v>
      </c>
      <c r="B38" s="12" t="s">
        <v>127</v>
      </c>
      <c r="C38" s="12" t="s">
        <v>431</v>
      </c>
      <c r="D38" s="298"/>
      <c r="E38" s="15">
        <v>2</v>
      </c>
      <c r="F38" s="13">
        <v>0</v>
      </c>
      <c r="G38" s="23" t="s">
        <v>81</v>
      </c>
      <c r="H38" s="23"/>
      <c r="I38" s="30">
        <v>15</v>
      </c>
      <c r="J38" s="30"/>
      <c r="K38" s="30"/>
      <c r="L38" s="6"/>
      <c r="M38" s="22"/>
      <c r="N38" s="11"/>
      <c r="O38" s="11"/>
      <c r="P38" s="5"/>
      <c r="Q38" s="5"/>
      <c r="W38" t="str">
        <v>90ZA-ZS004-00</v>
      </c>
      <c r="AD38" t="str" cm="1">
        <f t="array" ref="AD38">_xlfn._xlws.FILTER(Alkatrészek[Termék megnevezés],Alkatrészek[Termék rajzszáma]=AD37,"")</f>
        <v/>
      </c>
    </row>
    <row r="39" spans="1:30">
      <c r="A39" s="24" t="s">
        <v>156</v>
      </c>
      <c r="B39" s="12" t="s">
        <v>127</v>
      </c>
      <c r="C39" s="12" t="s">
        <v>432</v>
      </c>
      <c r="D39" s="298"/>
      <c r="E39" s="15">
        <v>1</v>
      </c>
      <c r="F39" s="13">
        <v>0</v>
      </c>
      <c r="G39" s="23" t="s">
        <v>81</v>
      </c>
      <c r="H39" s="23"/>
      <c r="I39" s="30">
        <v>15</v>
      </c>
      <c r="J39" s="30"/>
      <c r="K39" s="30"/>
      <c r="L39" s="6"/>
      <c r="M39" s="22"/>
      <c r="N39" s="11"/>
      <c r="O39" s="11"/>
      <c r="P39" s="5"/>
      <c r="Q39" s="5"/>
      <c r="W39" t="str">
        <v xml:space="preserve">90ZA-ZS005-06 </v>
      </c>
      <c r="AD39" t="str" cm="1">
        <f t="array" ref="AD39">_xlfn._xlws.FILTER(Alkatrészek[Termék megnevezés],Alkatrészek[Termék rajzszáma]=AD38,"")</f>
        <v/>
      </c>
    </row>
    <row r="40" spans="1:30">
      <c r="A40" s="24" t="s">
        <v>156</v>
      </c>
      <c r="B40" s="12" t="s">
        <v>127</v>
      </c>
      <c r="C40" s="12" t="s">
        <v>433</v>
      </c>
      <c r="D40" s="298"/>
      <c r="E40" s="15">
        <v>1</v>
      </c>
      <c r="F40" s="13">
        <v>206</v>
      </c>
      <c r="G40" s="23" t="s">
        <v>81</v>
      </c>
      <c r="H40" s="23"/>
      <c r="I40" s="30">
        <v>15</v>
      </c>
      <c r="J40" s="30"/>
      <c r="K40" s="30"/>
      <c r="L40" s="6"/>
      <c r="M40" s="22"/>
      <c r="N40" s="11"/>
      <c r="O40" s="11"/>
      <c r="P40" s="5"/>
      <c r="Q40" s="5"/>
      <c r="W40" t="str">
        <v xml:space="preserve">90ZA-ZS013-06 </v>
      </c>
      <c r="AD40" t="str" cm="1">
        <f t="array" ref="AD40">_xlfn._xlws.FILTER(Alkatrészek[Termék megnevezés],Alkatrészek[Termék rajzszáma]=AD39,"")</f>
        <v/>
      </c>
    </row>
    <row r="41" spans="1:30">
      <c r="A41" s="24" t="s">
        <v>156</v>
      </c>
      <c r="B41" s="12" t="s">
        <v>129</v>
      </c>
      <c r="C41" s="12" t="s">
        <v>431</v>
      </c>
      <c r="D41" s="298"/>
      <c r="E41" s="15">
        <v>1</v>
      </c>
      <c r="F41" s="13">
        <v>0</v>
      </c>
      <c r="G41" s="23" t="s">
        <v>81</v>
      </c>
      <c r="H41" s="23"/>
      <c r="I41" s="30">
        <v>15</v>
      </c>
      <c r="J41" s="30"/>
      <c r="K41" s="30"/>
      <c r="L41" s="6"/>
      <c r="M41" s="22"/>
      <c r="N41" s="11"/>
      <c r="O41" s="11"/>
      <c r="P41" s="5"/>
      <c r="Q41" s="5"/>
      <c r="W41" t="str">
        <v xml:space="preserve">90ZA-ZS016-06 </v>
      </c>
      <c r="AD41" t="str" cm="1">
        <f t="array" ref="AD41">_xlfn._xlws.FILTER(Alkatrészek[Termék megnevezés],Alkatrészek[Termék rajzszáma]=AD40,"")</f>
        <v/>
      </c>
    </row>
    <row r="42" spans="1:30">
      <c r="A42" s="24" t="s">
        <v>156</v>
      </c>
      <c r="B42" s="12" t="s">
        <v>129</v>
      </c>
      <c r="C42" s="12" t="s">
        <v>434</v>
      </c>
      <c r="D42" s="298"/>
      <c r="E42" s="15">
        <v>1</v>
      </c>
      <c r="F42" s="13">
        <v>0</v>
      </c>
      <c r="G42" s="23" t="s">
        <v>81</v>
      </c>
      <c r="H42" s="23"/>
      <c r="I42" s="30">
        <v>15</v>
      </c>
      <c r="J42" s="30"/>
      <c r="K42" s="30"/>
      <c r="L42" s="6"/>
      <c r="M42" s="22"/>
      <c r="N42" s="11"/>
      <c r="O42" s="11"/>
      <c r="P42" s="5"/>
      <c r="Q42" s="5"/>
      <c r="W42" t="str">
        <v xml:space="preserve">90ZA-ZS016-06 </v>
      </c>
      <c r="AD42" t="str" cm="1">
        <f t="array" ref="AD42">_xlfn._xlws.FILTER(Alkatrészek[Termék megnevezés],Alkatrészek[Termék rajzszáma]=AD41,"")</f>
        <v/>
      </c>
    </row>
    <row r="43" spans="1:30">
      <c r="A43" s="24" t="s">
        <v>156</v>
      </c>
      <c r="B43" s="12" t="s">
        <v>129</v>
      </c>
      <c r="C43" s="12" t="s">
        <v>436</v>
      </c>
      <c r="D43" s="298"/>
      <c r="E43" s="15">
        <v>2</v>
      </c>
      <c r="F43" s="13">
        <v>63.4</v>
      </c>
      <c r="G43" s="23" t="s">
        <v>81</v>
      </c>
      <c r="H43" s="23"/>
      <c r="I43" s="30">
        <v>15</v>
      </c>
      <c r="J43" s="30"/>
      <c r="K43" s="30"/>
      <c r="L43" s="6"/>
      <c r="M43" s="22"/>
      <c r="N43" s="11"/>
      <c r="O43" s="11"/>
      <c r="P43" s="5"/>
      <c r="Q43" s="5"/>
      <c r="W43" t="str">
        <v xml:space="preserve">90ZA-ZS016-06 </v>
      </c>
      <c r="AD43" t="str" cm="1">
        <f t="array" ref="AD43">_xlfn._xlws.FILTER(Alkatrészek[Termék megnevezés],Alkatrészek[Termék rajzszáma]=AD42,"")</f>
        <v/>
      </c>
    </row>
    <row r="44" spans="1:30">
      <c r="A44" s="24" t="s">
        <v>156</v>
      </c>
      <c r="B44" s="12" t="s">
        <v>131</v>
      </c>
      <c r="C44" s="12" t="s">
        <v>429</v>
      </c>
      <c r="D44" s="298"/>
      <c r="E44" s="15">
        <v>2</v>
      </c>
      <c r="F44" s="13">
        <v>22.599999999999998</v>
      </c>
      <c r="G44" s="23" t="s">
        <v>81</v>
      </c>
      <c r="H44" s="23"/>
      <c r="I44" s="30">
        <v>15</v>
      </c>
      <c r="J44" s="30"/>
      <c r="K44" s="30"/>
      <c r="L44" s="6"/>
      <c r="M44" s="22"/>
      <c r="N44" s="11"/>
      <c r="O44" s="11"/>
      <c r="P44" s="5"/>
      <c r="Q44" s="5"/>
      <c r="W44" t="str">
        <v xml:space="preserve">90ZA-ZS016-06 </v>
      </c>
      <c r="AD44" t="str" cm="1">
        <f t="array" ref="AD44">_xlfn._xlws.FILTER(Alkatrészek[Termék megnevezés],Alkatrészek[Termék rajzszáma]=AD43,"")</f>
        <v/>
      </c>
    </row>
    <row r="45" spans="1:30">
      <c r="A45" s="24" t="s">
        <v>156</v>
      </c>
      <c r="B45" s="12" t="s">
        <v>147</v>
      </c>
      <c r="C45" s="12" t="s">
        <v>435</v>
      </c>
      <c r="D45" s="298"/>
      <c r="E45" s="15"/>
      <c r="F45" s="13">
        <v>69.099999999999994</v>
      </c>
      <c r="G45" s="23" t="s">
        <v>81</v>
      </c>
      <c r="H45" s="23"/>
      <c r="I45" s="30">
        <v>15</v>
      </c>
      <c r="J45" s="30"/>
      <c r="K45" s="30"/>
      <c r="L45" s="6"/>
      <c r="M45" s="22"/>
      <c r="N45" s="11"/>
      <c r="O45" s="11"/>
      <c r="P45" s="5"/>
      <c r="Q45" s="5"/>
      <c r="W45" t="str">
        <v xml:space="preserve">90ZA-ZS017-06 </v>
      </c>
      <c r="AD45" t="str" cm="1">
        <f t="array" ref="AD45">_xlfn._xlws.FILTER(Alkatrészek[Termék megnevezés],Alkatrészek[Termék rajzszáma]=AD44,"")</f>
        <v/>
      </c>
    </row>
    <row r="46" spans="1:30">
      <c r="A46" s="24" t="s">
        <v>156</v>
      </c>
      <c r="B46" s="12" t="s">
        <v>132</v>
      </c>
      <c r="C46" s="12" t="s">
        <v>437</v>
      </c>
      <c r="D46" s="298"/>
      <c r="E46" s="15">
        <v>2</v>
      </c>
      <c r="F46" s="13">
        <v>16.8</v>
      </c>
      <c r="G46" s="23" t="s">
        <v>81</v>
      </c>
      <c r="H46" s="23"/>
      <c r="I46" s="30">
        <v>15</v>
      </c>
      <c r="J46" s="30"/>
      <c r="K46" s="30"/>
      <c r="L46" s="6"/>
      <c r="M46" s="22"/>
      <c r="N46" s="11"/>
      <c r="O46" s="11"/>
      <c r="P46" s="5"/>
      <c r="Q46" s="5"/>
      <c r="W46" t="str">
        <v xml:space="preserve">90ZA-ZS017-06 </v>
      </c>
      <c r="AD46" t="str" cm="1">
        <f t="array" ref="AD46">_xlfn._xlws.FILTER(Alkatrészek[Termék megnevezés],Alkatrészek[Termék rajzszáma]=AD45,"")</f>
        <v/>
      </c>
    </row>
    <row r="47" spans="1:30">
      <c r="A47" s="24" t="s">
        <v>156</v>
      </c>
      <c r="B47" s="12" t="s">
        <v>134</v>
      </c>
      <c r="C47" s="12" t="s">
        <v>438</v>
      </c>
      <c r="D47" s="298"/>
      <c r="E47" s="15">
        <v>1</v>
      </c>
      <c r="F47" s="13">
        <v>300</v>
      </c>
      <c r="G47" s="23" t="s">
        <v>81</v>
      </c>
      <c r="H47" s="23"/>
      <c r="I47" s="30">
        <v>15</v>
      </c>
      <c r="J47" s="30"/>
      <c r="K47" s="30"/>
      <c r="L47" s="6"/>
      <c r="M47" s="22"/>
      <c r="N47" s="11"/>
      <c r="O47" s="11"/>
      <c r="P47" s="5"/>
      <c r="Q47" s="5"/>
      <c r="W47" t="str">
        <v xml:space="preserve">90ZA-ZS017-06 </v>
      </c>
      <c r="AD47" t="str" cm="1">
        <f t="array" ref="AD47">_xlfn._xlws.FILTER(Alkatrészek[Termék megnevezés],Alkatrészek[Termék rajzszáma]=AD46,"")</f>
        <v/>
      </c>
    </row>
    <row r="48" spans="1:30">
      <c r="A48" s="24" t="s">
        <v>156</v>
      </c>
      <c r="B48" s="12" t="s">
        <v>135</v>
      </c>
      <c r="C48" s="12" t="s">
        <v>439</v>
      </c>
      <c r="D48" s="298"/>
      <c r="E48" s="15">
        <v>1</v>
      </c>
      <c r="F48" s="13">
        <v>56.1</v>
      </c>
      <c r="G48" s="23" t="s">
        <v>81</v>
      </c>
      <c r="H48" s="23"/>
      <c r="I48" s="30">
        <v>15</v>
      </c>
      <c r="J48" s="30"/>
      <c r="K48" s="30"/>
      <c r="L48" s="6"/>
      <c r="M48" s="22"/>
      <c r="N48" s="11"/>
      <c r="O48" s="11"/>
      <c r="P48" s="5"/>
      <c r="Q48" s="5"/>
      <c r="W48" t="str">
        <v xml:space="preserve">90ZA-ZS019-16 </v>
      </c>
      <c r="AD48" t="str" cm="1">
        <f t="array" ref="AD48">_xlfn._xlws.FILTER(Alkatrészek[Termék megnevezés],Alkatrészek[Termék rajzszáma]=AD47,"")</f>
        <v/>
      </c>
    </row>
    <row r="49" spans="1:30">
      <c r="A49" s="24" t="s">
        <v>156</v>
      </c>
      <c r="B49" s="12" t="s">
        <v>136</v>
      </c>
      <c r="C49" s="12" t="s">
        <v>440</v>
      </c>
      <c r="D49" s="298"/>
      <c r="E49" s="15">
        <v>1</v>
      </c>
      <c r="F49" s="13">
        <v>25.1</v>
      </c>
      <c r="G49" s="23" t="s">
        <v>81</v>
      </c>
      <c r="H49" s="23"/>
      <c r="I49" s="30">
        <v>15</v>
      </c>
      <c r="J49" s="30"/>
      <c r="K49" s="30"/>
      <c r="L49" s="6"/>
      <c r="M49" s="22"/>
      <c r="N49" s="11"/>
      <c r="O49" s="11"/>
      <c r="P49" s="5"/>
      <c r="Q49" s="5"/>
      <c r="W49" t="str">
        <v>90ZA-ZS023-06</v>
      </c>
      <c r="AD49" t="str" cm="1">
        <f t="array" ref="AD49">_xlfn._xlws.FILTER(Alkatrészek[Termék megnevezés],Alkatrészek[Termék rajzszáma]=AD48,"")</f>
        <v/>
      </c>
    </row>
    <row r="50" spans="1:30">
      <c r="A50" s="24" t="s">
        <v>156</v>
      </c>
      <c r="B50" s="12" t="s">
        <v>137</v>
      </c>
      <c r="C50" s="12" t="s">
        <v>441</v>
      </c>
      <c r="D50" s="298"/>
      <c r="E50" s="15">
        <v>2</v>
      </c>
      <c r="F50" s="13">
        <v>4.5</v>
      </c>
      <c r="G50" s="23" t="s">
        <v>81</v>
      </c>
      <c r="H50" s="23"/>
      <c r="I50" s="30">
        <v>15</v>
      </c>
      <c r="J50" s="30"/>
      <c r="K50" s="30"/>
      <c r="L50" s="6"/>
      <c r="M50" s="22"/>
      <c r="N50" s="11"/>
      <c r="O50" s="11"/>
      <c r="P50" s="5"/>
      <c r="Q50" s="5"/>
      <c r="W50" t="str">
        <v xml:space="preserve">91ZA-HT001-00 </v>
      </c>
      <c r="AD50" t="str" cm="1">
        <f t="array" ref="AD50">_xlfn._xlws.FILTER(Alkatrészek[Termék megnevezés],Alkatrészek[Termék rajzszáma]=AD49,"")</f>
        <v/>
      </c>
    </row>
    <row r="51" spans="1:30">
      <c r="A51" s="24" t="s">
        <v>156</v>
      </c>
      <c r="B51" s="12" t="s">
        <v>139</v>
      </c>
      <c r="C51" s="12" t="s">
        <v>442</v>
      </c>
      <c r="D51" s="298"/>
      <c r="E51" s="15">
        <v>2</v>
      </c>
      <c r="F51" s="13">
        <v>20.7</v>
      </c>
      <c r="G51" s="23" t="s">
        <v>81</v>
      </c>
      <c r="H51" s="23"/>
      <c r="I51" s="30">
        <v>15</v>
      </c>
      <c r="J51" s="30"/>
      <c r="K51" s="30"/>
      <c r="L51" s="6"/>
      <c r="M51" s="22"/>
      <c r="N51" s="11"/>
      <c r="O51" s="11"/>
      <c r="P51" s="5"/>
      <c r="Q51" s="5"/>
      <c r="W51" t="str">
        <v xml:space="preserve">91ZA-H0006-06 </v>
      </c>
      <c r="AD51" t="str" cm="1">
        <f t="array" ref="AD51">_xlfn._xlws.FILTER(Alkatrészek[Termék megnevezés],Alkatrészek[Termék rajzszáma]=AD50,"")</f>
        <v/>
      </c>
    </row>
    <row r="52" spans="1:30">
      <c r="A52" s="24" t="s">
        <v>156</v>
      </c>
      <c r="B52" s="12" t="s">
        <v>141</v>
      </c>
      <c r="C52" s="12" t="s">
        <v>423</v>
      </c>
      <c r="D52" s="298"/>
      <c r="E52" s="15">
        <v>2</v>
      </c>
      <c r="F52" s="13">
        <v>14.9</v>
      </c>
      <c r="G52" s="23" t="s">
        <v>81</v>
      </c>
      <c r="H52" s="23"/>
      <c r="I52" s="30">
        <v>15</v>
      </c>
      <c r="J52" s="30"/>
      <c r="K52" s="30"/>
      <c r="L52" s="6"/>
      <c r="M52" s="22"/>
      <c r="N52" s="11"/>
      <c r="O52" s="11"/>
      <c r="P52" s="5"/>
      <c r="Q52" s="5"/>
      <c r="W52" t="str">
        <v xml:space="preserve">91ZA-F002-06 </v>
      </c>
      <c r="AD52" t="str" cm="1">
        <f t="array" ref="AD52">_xlfn._xlws.FILTER(Alkatrészek[Termék megnevezés],Alkatrészek[Termék rajzszáma]=AD51,"")</f>
        <v/>
      </c>
    </row>
    <row r="53" spans="1:30">
      <c r="A53" s="24" t="s">
        <v>156</v>
      </c>
      <c r="B53" s="309" t="s">
        <v>142</v>
      </c>
      <c r="C53" s="309" t="s">
        <v>443</v>
      </c>
      <c r="D53" s="312"/>
      <c r="E53" s="315">
        <v>1</v>
      </c>
      <c r="F53" s="13">
        <v>100.7</v>
      </c>
      <c r="G53" s="23" t="s">
        <v>81</v>
      </c>
      <c r="H53" s="23"/>
      <c r="I53" s="30">
        <v>15</v>
      </c>
      <c r="J53" s="30"/>
      <c r="K53" s="30"/>
      <c r="L53" s="6"/>
      <c r="M53" s="22"/>
      <c r="N53" s="6"/>
      <c r="O53" s="6"/>
      <c r="P53" s="31"/>
      <c r="Q53" s="5"/>
      <c r="W53" t="str">
        <v xml:space="preserve">91ZA-NY003-00 </v>
      </c>
      <c r="AD53" t="str" cm="1">
        <f t="array" ref="AD53">_xlfn._xlws.FILTER(Alkatrészek[Termék megnevezés],Alkatrészek[Termék rajzszáma]=AD52,"")</f>
        <v/>
      </c>
    </row>
    <row r="54" spans="1:30">
      <c r="A54" s="24" t="s">
        <v>156</v>
      </c>
      <c r="B54" s="309" t="s">
        <v>304</v>
      </c>
      <c r="C54" s="12"/>
      <c r="D54" s="298"/>
      <c r="E54" s="15"/>
      <c r="F54" s="13">
        <v>2.89</v>
      </c>
      <c r="G54" s="23" t="s">
        <v>81</v>
      </c>
      <c r="H54" s="23"/>
      <c r="I54" s="30">
        <v>15</v>
      </c>
      <c r="J54" s="30"/>
      <c r="K54" s="30"/>
      <c r="L54" s="6"/>
      <c r="M54" s="22"/>
      <c r="N54" s="11"/>
      <c r="O54" s="11"/>
      <c r="P54" s="31"/>
      <c r="Q54" s="5"/>
      <c r="W54" t="str">
        <v xml:space="preserve">99ZA-B001-06 </v>
      </c>
      <c r="AD54" t="str" cm="1">
        <f t="array" ref="AD54">_xlfn._xlws.FILTER(Alkatrészek[Termék megnevezés],Alkatrészek[Termék rajzszáma]=AD53,"")</f>
        <v/>
      </c>
    </row>
    <row r="55" spans="1:30">
      <c r="A55" s="24" t="s">
        <v>165</v>
      </c>
      <c r="B55" s="309" t="s">
        <v>76</v>
      </c>
      <c r="C55" s="309"/>
      <c r="D55" s="312"/>
      <c r="E55" s="315"/>
      <c r="F55" s="13"/>
      <c r="G55" s="23" t="s">
        <v>81</v>
      </c>
      <c r="H55" s="23"/>
      <c r="I55" s="30">
        <v>15</v>
      </c>
      <c r="J55" s="30"/>
      <c r="K55" s="30"/>
      <c r="L55" s="6"/>
      <c r="M55" s="22"/>
      <c r="N55" s="6"/>
      <c r="O55" s="6"/>
      <c r="P55" s="31"/>
      <c r="Q55" s="5"/>
      <c r="W55" t="str">
        <v xml:space="preserve">99ZA-H001-06 </v>
      </c>
      <c r="AD55" t="str" cm="1">
        <f t="array" ref="AD55">_xlfn._xlws.FILTER(Alkatrészek[Termék megnevezés],Alkatrészek[Termék rajzszáma]=AD54,"")</f>
        <v/>
      </c>
    </row>
    <row r="56" spans="1:30">
      <c r="A56" s="24" t="s">
        <v>165</v>
      </c>
      <c r="B56" s="309" t="s">
        <v>55</v>
      </c>
      <c r="C56" s="309"/>
      <c r="D56" s="312"/>
      <c r="E56" s="315"/>
      <c r="F56" s="13"/>
      <c r="G56" s="23" t="s">
        <v>81</v>
      </c>
      <c r="H56" s="23"/>
      <c r="I56" s="30">
        <v>15</v>
      </c>
      <c r="J56" s="30"/>
      <c r="K56" s="30"/>
      <c r="L56" s="6"/>
      <c r="M56" s="22"/>
      <c r="N56" s="6"/>
      <c r="O56" s="6"/>
      <c r="P56" s="31"/>
      <c r="Q56" s="5"/>
      <c r="W56" t="str">
        <v xml:space="preserve">99ZA-NY001-00 </v>
      </c>
      <c r="AD56" t="str" cm="1">
        <f t="array" ref="AD56">_xlfn._xlws.FILTER(Alkatrészek[Termék megnevezés],Alkatrészek[Termék rajzszáma]=AD55,"")</f>
        <v/>
      </c>
    </row>
    <row r="57" spans="1:30">
      <c r="A57" s="24" t="s">
        <v>165</v>
      </c>
      <c r="B57" s="309" t="s">
        <v>56</v>
      </c>
      <c r="C57" s="309"/>
      <c r="D57" s="312"/>
      <c r="E57" s="315"/>
      <c r="F57" s="13"/>
      <c r="G57" s="23" t="s">
        <v>81</v>
      </c>
      <c r="H57" s="23"/>
      <c r="I57" s="30">
        <v>15</v>
      </c>
      <c r="J57" s="30"/>
      <c r="K57" s="30"/>
      <c r="L57" s="6"/>
      <c r="M57" s="22"/>
      <c r="N57" s="6"/>
      <c r="O57" s="6"/>
      <c r="P57" s="31"/>
      <c r="Q57" s="5"/>
      <c r="W57" t="str">
        <v xml:space="preserve">99ZA-ZS001-06 </v>
      </c>
      <c r="AD57" t="str" cm="1">
        <f t="array" ref="AD57">_xlfn._xlws.FILTER(Alkatrészek[Termék megnevezés],Alkatrészek[Termék rajzszáma]=AD56,"")</f>
        <v/>
      </c>
    </row>
    <row r="58" spans="1:30">
      <c r="A58" s="308" t="s">
        <v>474</v>
      </c>
      <c r="B58" s="12" t="s">
        <v>478</v>
      </c>
      <c r="C58" s="12" t="s">
        <v>482</v>
      </c>
      <c r="D58" s="298"/>
      <c r="E58" s="15"/>
      <c r="F58" s="13"/>
      <c r="G58" s="23" t="s">
        <v>545</v>
      </c>
      <c r="H58" s="23"/>
      <c r="I58" s="30"/>
      <c r="J58" s="30"/>
      <c r="K58" s="30"/>
      <c r="L58" s="6"/>
      <c r="M58" s="22"/>
      <c r="N58" s="11"/>
      <c r="O58" s="11"/>
      <c r="P58" s="31"/>
      <c r="Q58" s="5"/>
      <c r="W58" t="str">
        <v>90ZA-B0011-06</v>
      </c>
      <c r="AD58" t="str" cm="1">
        <f t="array" ref="AD58">_xlfn._xlws.FILTER(Alkatrészek[Termék megnevezés],Alkatrészek[Termék rajzszáma]=AD57,"")</f>
        <v/>
      </c>
    </row>
    <row r="59" spans="1:30">
      <c r="A59" s="308" t="s">
        <v>474</v>
      </c>
      <c r="B59" s="12" t="s">
        <v>479</v>
      </c>
      <c r="C59" s="12" t="s">
        <v>483</v>
      </c>
      <c r="D59" s="298"/>
      <c r="E59" s="15"/>
      <c r="F59" s="13"/>
      <c r="G59" s="23" t="s">
        <v>545</v>
      </c>
      <c r="H59" s="23"/>
      <c r="I59" s="30"/>
      <c r="J59" s="30"/>
      <c r="K59" s="30"/>
      <c r="L59" s="6"/>
      <c r="M59" s="22"/>
      <c r="N59" s="11"/>
      <c r="O59" s="11"/>
      <c r="P59" s="31"/>
      <c r="Q59" s="5"/>
    </row>
    <row r="60" spans="1:30">
      <c r="A60" s="308" t="s">
        <v>474</v>
      </c>
      <c r="B60" s="12" t="s">
        <v>480</v>
      </c>
      <c r="C60" s="12" t="s">
        <v>483</v>
      </c>
      <c r="D60" s="298"/>
      <c r="E60" s="15"/>
      <c r="F60" s="13"/>
      <c r="G60" s="23" t="s">
        <v>545</v>
      </c>
      <c r="H60" s="23"/>
      <c r="I60" s="30"/>
      <c r="J60" s="30"/>
      <c r="K60" s="30"/>
      <c r="L60" s="6"/>
      <c r="M60" s="22"/>
      <c r="N60" s="11"/>
      <c r="O60" s="11"/>
      <c r="P60" s="31"/>
      <c r="Q60" s="5"/>
    </row>
    <row r="61" spans="1:30">
      <c r="A61" s="308" t="s">
        <v>474</v>
      </c>
      <c r="B61" s="12" t="s">
        <v>481</v>
      </c>
      <c r="C61" s="12" t="s">
        <v>483</v>
      </c>
      <c r="D61" s="298"/>
      <c r="E61" s="15"/>
      <c r="F61" s="13"/>
      <c r="G61" s="23" t="s">
        <v>545</v>
      </c>
      <c r="H61" s="23"/>
      <c r="I61" s="30"/>
      <c r="J61" s="30"/>
      <c r="K61" s="30"/>
      <c r="L61" s="6"/>
      <c r="M61" s="22"/>
      <c r="N61" s="11"/>
      <c r="O61" s="11"/>
      <c r="P61" s="31"/>
      <c r="Q61" s="5"/>
    </row>
    <row r="62" spans="1:30">
      <c r="A62" s="319" t="s">
        <v>474</v>
      </c>
      <c r="B62" s="12" t="s">
        <v>504</v>
      </c>
      <c r="C62" s="12" t="s">
        <v>505</v>
      </c>
      <c r="D62" s="298"/>
      <c r="E62" s="15"/>
      <c r="F62" s="13"/>
      <c r="G62" s="23" t="s">
        <v>545</v>
      </c>
      <c r="H62" s="23"/>
      <c r="I62" s="30"/>
      <c r="J62" s="38"/>
      <c r="K62" s="38"/>
      <c r="L62" s="6"/>
      <c r="M62" s="22"/>
      <c r="N62" s="11"/>
      <c r="O62" s="11"/>
      <c r="P62" s="31"/>
      <c r="Q62" s="5"/>
    </row>
    <row r="63" spans="1:30">
      <c r="A63" s="308" t="s">
        <v>474</v>
      </c>
      <c r="B63" s="12" t="s">
        <v>484</v>
      </c>
      <c r="C63" s="12" t="s">
        <v>483</v>
      </c>
      <c r="D63" s="298"/>
      <c r="E63" s="15"/>
      <c r="F63" s="13"/>
      <c r="G63" s="23" t="s">
        <v>545</v>
      </c>
      <c r="H63" s="23"/>
      <c r="I63" s="30"/>
      <c r="J63" s="30"/>
      <c r="K63" s="30"/>
      <c r="L63" s="6"/>
      <c r="M63" s="22"/>
      <c r="N63" s="11"/>
      <c r="O63" s="11"/>
      <c r="P63" s="31"/>
      <c r="Q63" s="5"/>
    </row>
    <row r="64" spans="1:30">
      <c r="A64" s="308" t="s">
        <v>474</v>
      </c>
      <c r="B64" s="12" t="s">
        <v>486</v>
      </c>
      <c r="C64" s="12" t="s">
        <v>485</v>
      </c>
      <c r="D64" s="298"/>
      <c r="E64" s="15"/>
      <c r="F64" s="13"/>
      <c r="G64" s="23" t="s">
        <v>545</v>
      </c>
      <c r="H64" s="23"/>
      <c r="I64" s="30"/>
      <c r="J64" s="30"/>
      <c r="K64" s="30"/>
      <c r="L64" s="6"/>
      <c r="M64" s="22"/>
      <c r="N64" s="11"/>
      <c r="O64" s="11"/>
      <c r="P64" s="31"/>
      <c r="Q64" s="5"/>
    </row>
    <row r="65" spans="1:20">
      <c r="A65" s="24" t="s">
        <v>177</v>
      </c>
      <c r="B65" s="309" t="s">
        <v>155</v>
      </c>
      <c r="C65" s="309"/>
      <c r="D65" s="312"/>
      <c r="E65" s="315"/>
      <c r="F65" s="13"/>
      <c r="G65" s="23" t="s">
        <v>358</v>
      </c>
      <c r="H65" s="23"/>
      <c r="I65" s="30">
        <v>15</v>
      </c>
      <c r="J65" s="30"/>
      <c r="K65" s="30"/>
      <c r="L65" s="6"/>
      <c r="M65" s="22"/>
      <c r="N65" s="6"/>
      <c r="O65" s="6"/>
      <c r="P65" s="31"/>
      <c r="Q65" s="5"/>
    </row>
    <row r="66" spans="1:20">
      <c r="A66" s="24" t="s">
        <v>177</v>
      </c>
      <c r="B66" s="309" t="s">
        <v>151</v>
      </c>
      <c r="C66" s="309"/>
      <c r="D66" s="312"/>
      <c r="E66" s="315"/>
      <c r="F66" s="13"/>
      <c r="G66" s="23" t="s">
        <v>358</v>
      </c>
      <c r="H66" s="23"/>
      <c r="I66" s="30">
        <v>15</v>
      </c>
      <c r="J66" s="30"/>
      <c r="K66" s="30"/>
      <c r="L66" s="6"/>
      <c r="M66" s="22"/>
      <c r="N66" s="6"/>
      <c r="O66" s="6"/>
      <c r="P66" s="31"/>
      <c r="Q66" s="5"/>
    </row>
    <row r="67" spans="1:20">
      <c r="A67" s="24" t="s">
        <v>177</v>
      </c>
      <c r="B67" s="309" t="s">
        <v>152</v>
      </c>
      <c r="C67" s="309"/>
      <c r="D67" s="312"/>
      <c r="E67" s="315"/>
      <c r="F67" s="13"/>
      <c r="G67" s="23" t="s">
        <v>358</v>
      </c>
      <c r="H67" s="23"/>
      <c r="I67" s="30">
        <v>15</v>
      </c>
      <c r="J67" s="30"/>
      <c r="K67" s="30"/>
      <c r="L67" s="6"/>
      <c r="M67" s="22"/>
      <c r="N67" s="6"/>
      <c r="O67" s="6"/>
      <c r="P67" s="31"/>
      <c r="Q67" s="5"/>
    </row>
    <row r="68" spans="1:20">
      <c r="A68" s="24" t="s">
        <v>177</v>
      </c>
      <c r="B68" s="309" t="s">
        <v>150</v>
      </c>
      <c r="C68" s="309"/>
      <c r="D68" s="312"/>
      <c r="E68" s="315"/>
      <c r="F68" s="13"/>
      <c r="G68" s="23" t="s">
        <v>358</v>
      </c>
      <c r="H68" s="23"/>
      <c r="I68" s="30">
        <v>15</v>
      </c>
      <c r="J68" s="30"/>
      <c r="K68" s="30"/>
      <c r="L68" s="6"/>
      <c r="M68" s="22"/>
      <c r="N68" s="6"/>
      <c r="O68" s="6"/>
      <c r="P68" s="31"/>
      <c r="Q68" s="5"/>
    </row>
    <row r="69" spans="1:20">
      <c r="A69" s="24" t="s">
        <v>177</v>
      </c>
      <c r="B69" s="12" t="s">
        <v>153</v>
      </c>
      <c r="C69" s="12"/>
      <c r="D69" s="298"/>
      <c r="E69" s="15"/>
      <c r="F69" s="13"/>
      <c r="G69" s="23" t="s">
        <v>358</v>
      </c>
      <c r="H69" s="23"/>
      <c r="I69" s="30">
        <v>15</v>
      </c>
      <c r="J69" s="30"/>
      <c r="K69" s="30"/>
      <c r="L69" s="6"/>
      <c r="M69" s="22"/>
      <c r="N69" s="11"/>
      <c r="O69" s="11"/>
      <c r="P69" s="5"/>
      <c r="Q69" s="5"/>
    </row>
    <row r="70" spans="1:20">
      <c r="A70" s="24" t="s">
        <v>188</v>
      </c>
      <c r="B70" s="309" t="s">
        <v>78</v>
      </c>
      <c r="C70" s="309"/>
      <c r="D70" s="312"/>
      <c r="E70" s="315"/>
      <c r="F70" s="13"/>
      <c r="G70" s="23" t="s">
        <v>81</v>
      </c>
      <c r="H70" s="23"/>
      <c r="I70" s="30">
        <v>15</v>
      </c>
      <c r="J70" s="30"/>
      <c r="K70" s="30"/>
      <c r="L70" s="6"/>
      <c r="M70" s="22"/>
      <c r="N70" s="6"/>
      <c r="O70" s="6"/>
      <c r="P70" s="31"/>
      <c r="Q70" s="5"/>
    </row>
    <row r="71" spans="1:20">
      <c r="A71" s="24" t="s">
        <v>188</v>
      </c>
      <c r="B71" s="309" t="s">
        <v>79</v>
      </c>
      <c r="C71" s="309"/>
      <c r="D71" s="312"/>
      <c r="E71" s="315"/>
      <c r="F71" s="13"/>
      <c r="G71" s="23" t="s">
        <v>81</v>
      </c>
      <c r="H71" s="23"/>
      <c r="I71" s="30">
        <v>15</v>
      </c>
      <c r="J71" s="30"/>
      <c r="K71" s="30"/>
      <c r="L71" s="6"/>
      <c r="M71" s="22"/>
      <c r="N71" s="6"/>
      <c r="O71" s="6"/>
      <c r="P71" s="31"/>
      <c r="Q71" s="5"/>
    </row>
    <row r="72" spans="1:20">
      <c r="A72" s="24" t="s">
        <v>180</v>
      </c>
      <c r="B72" s="311" t="s">
        <v>24</v>
      </c>
      <c r="C72" s="311" t="s">
        <v>408</v>
      </c>
      <c r="D72" s="314" t="s">
        <v>446</v>
      </c>
      <c r="E72" s="316">
        <v>8</v>
      </c>
      <c r="F72" s="13">
        <v>11.6</v>
      </c>
      <c r="G72" s="23" t="s">
        <v>81</v>
      </c>
      <c r="H72" s="23"/>
      <c r="I72" s="30">
        <v>20</v>
      </c>
      <c r="J72" s="30"/>
      <c r="K72" s="30"/>
      <c r="L72" s="6" t="s">
        <v>191</v>
      </c>
      <c r="M72" s="22">
        <v>800</v>
      </c>
      <c r="N72" s="11">
        <v>126</v>
      </c>
      <c r="O72" s="11"/>
      <c r="P72" s="5"/>
      <c r="Q72" s="5"/>
    </row>
    <row r="73" spans="1:20">
      <c r="A73" s="24" t="s">
        <v>180</v>
      </c>
      <c r="B73" s="311" t="s">
        <v>34</v>
      </c>
      <c r="C73" s="311" t="s">
        <v>408</v>
      </c>
      <c r="D73" s="314" t="s">
        <v>447</v>
      </c>
      <c r="E73" s="316">
        <v>16</v>
      </c>
      <c r="F73" s="13">
        <v>14</v>
      </c>
      <c r="G73" s="23" t="s">
        <v>81</v>
      </c>
      <c r="H73" s="23"/>
      <c r="I73" s="30">
        <v>20</v>
      </c>
      <c r="J73" s="30"/>
      <c r="K73" s="30"/>
      <c r="L73" s="6" t="s">
        <v>191</v>
      </c>
      <c r="M73" s="22">
        <v>500</v>
      </c>
      <c r="N73" s="11">
        <v>120</v>
      </c>
      <c r="O73" s="11"/>
      <c r="P73" s="5"/>
      <c r="Q73" s="5"/>
    </row>
    <row r="74" spans="1:20">
      <c r="A74" s="24" t="s">
        <v>180</v>
      </c>
      <c r="B74" s="311" t="s">
        <v>25</v>
      </c>
      <c r="C74" s="311" t="s">
        <v>408</v>
      </c>
      <c r="D74" s="314"/>
      <c r="E74" s="316">
        <v>8</v>
      </c>
      <c r="F74" s="13">
        <v>34</v>
      </c>
      <c r="G74" s="23" t="s">
        <v>81</v>
      </c>
      <c r="H74" s="23"/>
      <c r="I74" s="30">
        <v>20</v>
      </c>
      <c r="J74" s="30"/>
      <c r="K74" s="30"/>
      <c r="L74" s="6" t="s">
        <v>191</v>
      </c>
      <c r="M74" s="22">
        <v>300</v>
      </c>
      <c r="N74" s="11">
        <v>120</v>
      </c>
      <c r="O74" s="11"/>
      <c r="P74" s="5"/>
      <c r="Q74" s="5"/>
    </row>
    <row r="75" spans="1:20">
      <c r="A75" s="24" t="s">
        <v>180</v>
      </c>
      <c r="B75" s="311" t="s">
        <v>15</v>
      </c>
      <c r="C75" s="311" t="s">
        <v>408</v>
      </c>
      <c r="D75" s="314" t="s">
        <v>448</v>
      </c>
      <c r="E75" s="316">
        <v>8</v>
      </c>
      <c r="F75" s="13">
        <v>13.8</v>
      </c>
      <c r="G75" s="23" t="s">
        <v>81</v>
      </c>
      <c r="H75" s="23"/>
      <c r="I75" s="30">
        <v>20</v>
      </c>
      <c r="J75" s="30"/>
      <c r="K75" s="30"/>
      <c r="L75" s="6" t="s">
        <v>191</v>
      </c>
      <c r="M75" s="22">
        <v>750</v>
      </c>
      <c r="N75" s="11">
        <v>120</v>
      </c>
      <c r="O75" s="11"/>
      <c r="P75" s="295"/>
      <c r="Q75" s="5"/>
    </row>
    <row r="76" spans="1:20">
      <c r="A76" s="24" t="s">
        <v>180</v>
      </c>
      <c r="B76" s="10" t="s">
        <v>50</v>
      </c>
      <c r="C76" s="10" t="s">
        <v>408</v>
      </c>
      <c r="D76" s="304" t="s">
        <v>449</v>
      </c>
      <c r="E76" s="14">
        <v>4</v>
      </c>
      <c r="F76" s="23">
        <v>65.3</v>
      </c>
      <c r="G76" s="23" t="s">
        <v>81</v>
      </c>
      <c r="H76" s="23"/>
      <c r="I76" s="30">
        <v>20</v>
      </c>
      <c r="J76" s="30"/>
      <c r="K76" s="30"/>
      <c r="L76" s="6" t="s">
        <v>191</v>
      </c>
      <c r="M76" s="22">
        <v>150</v>
      </c>
      <c r="N76" s="11">
        <v>30</v>
      </c>
      <c r="O76" s="11"/>
      <c r="P76" s="5"/>
      <c r="Q76" s="31"/>
      <c r="R76" s="35"/>
      <c r="S76" s="35"/>
      <c r="T76" s="35"/>
    </row>
    <row r="77" spans="1:20">
      <c r="A77" s="10" t="s">
        <v>180</v>
      </c>
      <c r="B77" s="9" t="s">
        <v>17</v>
      </c>
      <c r="C77" s="9" t="s">
        <v>408</v>
      </c>
      <c r="D77" s="304" t="s">
        <v>450</v>
      </c>
      <c r="E77" s="14">
        <v>8</v>
      </c>
      <c r="F77" s="23">
        <v>17</v>
      </c>
      <c r="G77" s="23" t="s">
        <v>81</v>
      </c>
      <c r="H77" s="23"/>
      <c r="I77" s="30">
        <v>20</v>
      </c>
      <c r="J77" s="30"/>
      <c r="K77" s="30"/>
      <c r="L77" s="6" t="s">
        <v>192</v>
      </c>
      <c r="M77" s="22">
        <v>350</v>
      </c>
      <c r="N77" s="11">
        <v>72</v>
      </c>
      <c r="O77" s="11"/>
      <c r="P77" s="5"/>
      <c r="Q77" s="31"/>
      <c r="R77" s="35"/>
      <c r="S77" s="35"/>
      <c r="T77" s="35"/>
    </row>
    <row r="78" spans="1:20">
      <c r="A78" s="10" t="s">
        <v>180</v>
      </c>
      <c r="B78" s="9" t="s">
        <v>19</v>
      </c>
      <c r="C78" s="5" t="s">
        <v>408</v>
      </c>
      <c r="D78" s="304" t="s">
        <v>451</v>
      </c>
      <c r="E78" s="14">
        <v>4</v>
      </c>
      <c r="F78" s="23">
        <v>28.52</v>
      </c>
      <c r="G78" s="23" t="s">
        <v>81</v>
      </c>
      <c r="H78" s="23"/>
      <c r="I78" s="30">
        <v>20</v>
      </c>
      <c r="J78" s="30"/>
      <c r="K78" s="30"/>
      <c r="L78" s="6" t="s">
        <v>191</v>
      </c>
      <c r="M78" s="22">
        <v>350</v>
      </c>
      <c r="N78" s="11">
        <v>30</v>
      </c>
      <c r="O78" s="11"/>
      <c r="P78" s="5"/>
      <c r="Q78" s="31"/>
      <c r="R78" s="35"/>
      <c r="S78" s="35"/>
      <c r="T78" s="35"/>
    </row>
    <row r="79" spans="1:20">
      <c r="A79" s="10" t="s">
        <v>180</v>
      </c>
      <c r="B79" s="9" t="s">
        <v>18</v>
      </c>
      <c r="C79" s="9" t="s">
        <v>408</v>
      </c>
      <c r="D79" s="304" t="s">
        <v>452</v>
      </c>
      <c r="E79" s="11">
        <v>4</v>
      </c>
      <c r="F79" s="23">
        <v>29.93</v>
      </c>
      <c r="G79" s="23" t="s">
        <v>81</v>
      </c>
      <c r="H79" s="23"/>
      <c r="I79" s="30">
        <v>20</v>
      </c>
      <c r="J79" s="30"/>
      <c r="K79" s="30"/>
      <c r="L79" s="6" t="s">
        <v>191</v>
      </c>
      <c r="M79" s="22">
        <v>400</v>
      </c>
      <c r="N79" s="11">
        <v>50</v>
      </c>
      <c r="O79" s="11"/>
      <c r="P79" s="5"/>
      <c r="Q79" s="31"/>
      <c r="R79" s="35"/>
      <c r="S79" s="35"/>
      <c r="T79" s="35"/>
    </row>
    <row r="80" spans="1:20">
      <c r="A80" s="10" t="s">
        <v>180</v>
      </c>
      <c r="B80" s="9" t="s">
        <v>16</v>
      </c>
      <c r="C80" s="9" t="s">
        <v>408</v>
      </c>
      <c r="D80" s="304" t="s">
        <v>453</v>
      </c>
      <c r="E80" s="11">
        <v>8</v>
      </c>
      <c r="F80" s="23">
        <v>10.5</v>
      </c>
      <c r="G80" s="23" t="s">
        <v>81</v>
      </c>
      <c r="H80" s="23"/>
      <c r="I80" s="30">
        <v>20</v>
      </c>
      <c r="J80" s="30"/>
      <c r="K80" s="30"/>
      <c r="L80" s="6" t="s">
        <v>191</v>
      </c>
      <c r="M80" s="22">
        <v>500</v>
      </c>
      <c r="N80" s="11">
        <v>90</v>
      </c>
      <c r="O80" s="11"/>
      <c r="P80" s="5"/>
      <c r="Q80" s="31"/>
      <c r="R80" s="35"/>
      <c r="S80" s="35"/>
      <c r="T80" s="35"/>
    </row>
    <row r="81" spans="1:20">
      <c r="A81" s="10" t="s">
        <v>180</v>
      </c>
      <c r="B81" s="9" t="s">
        <v>20</v>
      </c>
      <c r="C81" s="9" t="s">
        <v>408</v>
      </c>
      <c r="D81" s="304" t="s">
        <v>454</v>
      </c>
      <c r="E81" s="11">
        <v>4</v>
      </c>
      <c r="F81" s="23">
        <v>21.43</v>
      </c>
      <c r="G81" s="23" t="s">
        <v>81</v>
      </c>
      <c r="H81" s="23"/>
      <c r="I81" s="30">
        <v>20</v>
      </c>
      <c r="J81" s="30"/>
      <c r="K81" s="30"/>
      <c r="L81" s="6" t="s">
        <v>193</v>
      </c>
      <c r="M81" s="22">
        <v>500</v>
      </c>
      <c r="N81" s="11">
        <v>120</v>
      </c>
      <c r="O81" s="11"/>
      <c r="P81" s="5"/>
      <c r="Q81" s="31"/>
      <c r="R81" s="35"/>
      <c r="S81" s="35"/>
      <c r="T81" s="35"/>
    </row>
    <row r="82" spans="1:20">
      <c r="A82" s="10" t="s">
        <v>180</v>
      </c>
      <c r="B82" s="9" t="s">
        <v>43</v>
      </c>
      <c r="C82" s="9" t="s">
        <v>408</v>
      </c>
      <c r="D82" s="297"/>
      <c r="E82" s="11">
        <v>16</v>
      </c>
      <c r="F82" s="23">
        <v>8</v>
      </c>
      <c r="G82" s="23" t="s">
        <v>81</v>
      </c>
      <c r="H82" s="23"/>
      <c r="I82" s="30">
        <v>20</v>
      </c>
      <c r="J82" s="30"/>
      <c r="K82" s="30"/>
      <c r="L82" s="6" t="s">
        <v>192</v>
      </c>
      <c r="M82" s="22">
        <v>1000</v>
      </c>
      <c r="N82" s="11">
        <v>120</v>
      </c>
      <c r="O82" s="11"/>
      <c r="P82" s="5"/>
      <c r="Q82" s="31"/>
      <c r="R82" s="35"/>
      <c r="S82" s="35"/>
      <c r="T82" s="35"/>
    </row>
    <row r="83" spans="1:20">
      <c r="A83" s="10" t="s">
        <v>182</v>
      </c>
      <c r="B83" s="9" t="s">
        <v>470</v>
      </c>
      <c r="C83" s="9" t="s">
        <v>455</v>
      </c>
      <c r="D83" s="302">
        <v>37409029</v>
      </c>
      <c r="E83" s="11">
        <v>6</v>
      </c>
      <c r="F83" s="23">
        <v>19</v>
      </c>
      <c r="G83" s="23" t="s">
        <v>81</v>
      </c>
      <c r="H83" s="23"/>
      <c r="I83" s="30">
        <v>15</v>
      </c>
      <c r="J83" s="30"/>
      <c r="K83" s="30"/>
      <c r="L83" s="6"/>
      <c r="M83" s="22">
        <v>500</v>
      </c>
      <c r="N83" s="11">
        <v>120</v>
      </c>
      <c r="O83" s="11"/>
      <c r="P83" s="5"/>
      <c r="Q83" s="31"/>
      <c r="R83" s="35"/>
      <c r="S83" s="35"/>
      <c r="T83" s="35"/>
    </row>
    <row r="84" spans="1:20">
      <c r="A84" s="10" t="s">
        <v>182</v>
      </c>
      <c r="B84" s="9" t="s">
        <v>469</v>
      </c>
      <c r="C84" s="9" t="s">
        <v>455</v>
      </c>
      <c r="D84" s="302">
        <v>37409028</v>
      </c>
      <c r="E84" s="11">
        <v>2</v>
      </c>
      <c r="F84" s="23">
        <v>18.7</v>
      </c>
      <c r="G84" s="23" t="s">
        <v>81</v>
      </c>
      <c r="H84" s="23"/>
      <c r="I84" s="30">
        <v>15</v>
      </c>
      <c r="J84" s="30"/>
      <c r="K84" s="30"/>
      <c r="L84" s="6"/>
      <c r="M84" s="22">
        <v>500</v>
      </c>
      <c r="N84" s="11">
        <v>120</v>
      </c>
      <c r="O84" s="11"/>
      <c r="P84" s="5"/>
      <c r="Q84" s="31"/>
      <c r="R84" s="35"/>
      <c r="S84" s="35"/>
      <c r="T84" s="35"/>
    </row>
    <row r="85" spans="1:20">
      <c r="A85" s="10" t="s">
        <v>182</v>
      </c>
      <c r="B85" s="9" t="s">
        <v>469</v>
      </c>
      <c r="C85" s="9" t="s">
        <v>456</v>
      </c>
      <c r="D85" s="302"/>
      <c r="E85" s="11">
        <v>4</v>
      </c>
      <c r="F85" s="23">
        <v>17.399999999999999</v>
      </c>
      <c r="G85" s="23" t="s">
        <v>81</v>
      </c>
      <c r="H85" s="23"/>
      <c r="I85" s="30">
        <v>15</v>
      </c>
      <c r="J85" s="30"/>
      <c r="K85" s="30"/>
      <c r="L85" s="6"/>
      <c r="M85" s="22">
        <v>500</v>
      </c>
      <c r="N85" s="11">
        <v>120</v>
      </c>
      <c r="O85" s="11"/>
      <c r="P85" s="5"/>
      <c r="Q85" s="31"/>
      <c r="R85" s="35"/>
      <c r="S85" s="35"/>
      <c r="T85" s="35"/>
    </row>
    <row r="86" spans="1:20">
      <c r="A86" s="10" t="s">
        <v>182</v>
      </c>
      <c r="B86" s="9" t="s">
        <v>468</v>
      </c>
      <c r="C86" s="9" t="s">
        <v>457</v>
      </c>
      <c r="D86" s="302"/>
      <c r="E86" s="11">
        <v>4</v>
      </c>
      <c r="F86" s="23">
        <v>18.5</v>
      </c>
      <c r="G86" s="23" t="s">
        <v>81</v>
      </c>
      <c r="H86" s="23"/>
      <c r="I86" s="30">
        <v>15</v>
      </c>
      <c r="J86" s="30"/>
      <c r="K86" s="30"/>
      <c r="L86" s="6"/>
      <c r="M86" s="22">
        <v>500</v>
      </c>
      <c r="N86" s="11">
        <v>120</v>
      </c>
      <c r="O86" s="11"/>
      <c r="P86" s="5"/>
      <c r="Q86" s="31"/>
      <c r="R86" s="35"/>
      <c r="S86" s="35"/>
      <c r="T86" s="35"/>
    </row>
    <row r="87" spans="1:20">
      <c r="A87" s="10" t="s">
        <v>182</v>
      </c>
      <c r="B87" s="9" t="s">
        <v>458</v>
      </c>
      <c r="C87" s="9" t="s">
        <v>459</v>
      </c>
      <c r="D87" s="302"/>
      <c r="E87" s="11">
        <v>6</v>
      </c>
      <c r="F87" s="23">
        <v>35</v>
      </c>
      <c r="G87" s="23" t="s">
        <v>81</v>
      </c>
      <c r="H87" s="23"/>
      <c r="I87" s="30">
        <v>15</v>
      </c>
      <c r="J87" s="30"/>
      <c r="K87" s="30"/>
      <c r="L87" s="6"/>
      <c r="M87" s="22">
        <v>1200</v>
      </c>
      <c r="N87" s="11">
        <v>120</v>
      </c>
      <c r="O87" s="11"/>
      <c r="P87" s="5"/>
      <c r="Q87" s="31"/>
      <c r="R87" s="35"/>
      <c r="S87" s="35"/>
      <c r="T87" s="35"/>
    </row>
    <row r="88" spans="1:20">
      <c r="A88" s="10" t="s">
        <v>182</v>
      </c>
      <c r="B88" s="9" t="s">
        <v>460</v>
      </c>
      <c r="C88" s="9" t="s">
        <v>459</v>
      </c>
      <c r="D88" s="302">
        <v>31410203</v>
      </c>
      <c r="E88" s="11">
        <v>6</v>
      </c>
      <c r="F88" s="23">
        <v>15.03</v>
      </c>
      <c r="G88" s="23" t="s">
        <v>81</v>
      </c>
      <c r="H88" s="23"/>
      <c r="I88" s="30">
        <v>15</v>
      </c>
      <c r="J88" s="30"/>
      <c r="K88" s="30"/>
      <c r="L88" s="28"/>
      <c r="M88" s="29">
        <v>625</v>
      </c>
      <c r="N88" s="11">
        <v>120</v>
      </c>
      <c r="O88" s="11"/>
      <c r="P88" s="5"/>
      <c r="Q88" s="5"/>
    </row>
    <row r="89" spans="1:20">
      <c r="A89" s="10" t="s">
        <v>182</v>
      </c>
      <c r="B89" s="9" t="s">
        <v>461</v>
      </c>
      <c r="C89" s="9" t="s">
        <v>459</v>
      </c>
      <c r="D89" s="302">
        <v>31410115</v>
      </c>
      <c r="E89" s="11">
        <v>6</v>
      </c>
      <c r="F89" s="23">
        <v>67</v>
      </c>
      <c r="G89" s="23" t="s">
        <v>81</v>
      </c>
      <c r="H89" s="23"/>
      <c r="I89" s="30">
        <v>15</v>
      </c>
      <c r="J89" s="30"/>
      <c r="K89" s="30"/>
      <c r="L89" s="28"/>
      <c r="M89" s="29">
        <v>150</v>
      </c>
      <c r="N89" s="11">
        <v>120</v>
      </c>
      <c r="O89" s="11"/>
      <c r="P89" s="5"/>
      <c r="Q89" s="5"/>
    </row>
    <row r="90" spans="1:20">
      <c r="A90" s="357" t="s">
        <v>182</v>
      </c>
      <c r="B90" s="358" t="s">
        <v>29</v>
      </c>
      <c r="C90" s="310"/>
      <c r="D90" s="313"/>
      <c r="E90" s="137">
        <v>2</v>
      </c>
      <c r="F90" s="138">
        <v>29.25</v>
      </c>
      <c r="G90" s="139" t="s">
        <v>81</v>
      </c>
      <c r="H90" s="139"/>
      <c r="I90" s="38">
        <v>15</v>
      </c>
      <c r="J90" s="38"/>
      <c r="K90" s="38"/>
      <c r="L90" s="28"/>
      <c r="M90" s="29"/>
      <c r="N90" s="306">
        <v>120</v>
      </c>
      <c r="O90" s="306"/>
      <c r="P90" s="317"/>
      <c r="Q90" s="317"/>
    </row>
    <row r="91" spans="1:20" s="5" customFormat="1">
      <c r="A91" s="10" t="s">
        <v>182</v>
      </c>
      <c r="B91" s="9" t="s">
        <v>466</v>
      </c>
      <c r="C91" s="9" t="s">
        <v>462</v>
      </c>
      <c r="D91" s="302"/>
      <c r="E91" s="11">
        <v>2</v>
      </c>
      <c r="F91" s="23">
        <v>116.27</v>
      </c>
      <c r="G91" s="23" t="s">
        <v>81</v>
      </c>
      <c r="H91" s="23"/>
      <c r="I91" s="30">
        <v>15</v>
      </c>
      <c r="J91" s="30"/>
      <c r="K91" s="30" t="s">
        <v>303</v>
      </c>
      <c r="L91" s="6"/>
      <c r="M91" s="22">
        <v>580</v>
      </c>
      <c r="N91" s="11">
        <v>120</v>
      </c>
      <c r="O91" s="11"/>
    </row>
    <row r="92" spans="1:20" s="5" customFormat="1">
      <c r="A92" s="10" t="s">
        <v>182</v>
      </c>
      <c r="B92" s="9" t="s">
        <v>467</v>
      </c>
      <c r="C92" s="9" t="s">
        <v>462</v>
      </c>
      <c r="D92" s="302">
        <v>31102077</v>
      </c>
      <c r="E92" s="11">
        <v>2</v>
      </c>
      <c r="F92" s="23">
        <v>54.7</v>
      </c>
      <c r="G92" s="23" t="s">
        <v>81</v>
      </c>
      <c r="H92" s="23"/>
      <c r="I92" s="30">
        <v>15</v>
      </c>
      <c r="J92" s="30"/>
      <c r="K92" s="30"/>
      <c r="L92" s="6"/>
      <c r="M92" s="22">
        <v>200</v>
      </c>
      <c r="N92" s="11">
        <v>120</v>
      </c>
      <c r="O92" s="11"/>
    </row>
    <row r="93" spans="1:20" s="5" customFormat="1">
      <c r="A93" s="10" t="s">
        <v>182</v>
      </c>
      <c r="B93" s="9" t="s">
        <v>465</v>
      </c>
      <c r="C93" s="9" t="s">
        <v>462</v>
      </c>
      <c r="D93" s="302">
        <v>31102015</v>
      </c>
      <c r="E93" s="11">
        <v>2</v>
      </c>
      <c r="F93" s="23">
        <v>66</v>
      </c>
      <c r="G93" s="23" t="s">
        <v>81</v>
      </c>
      <c r="H93" s="23" t="s">
        <v>201</v>
      </c>
      <c r="I93" s="30">
        <v>15</v>
      </c>
      <c r="J93" s="30"/>
      <c r="K93" s="30"/>
      <c r="L93" s="6"/>
      <c r="M93" s="22">
        <v>200</v>
      </c>
      <c r="N93" s="11">
        <v>120</v>
      </c>
      <c r="O93" s="11"/>
    </row>
    <row r="94" spans="1:20" s="5" customFormat="1">
      <c r="A94" s="10" t="s">
        <v>182</v>
      </c>
      <c r="B94" s="9" t="s">
        <v>465</v>
      </c>
      <c r="C94" s="9" t="s">
        <v>462</v>
      </c>
      <c r="D94" s="302">
        <v>31102006</v>
      </c>
      <c r="E94" s="11">
        <v>2</v>
      </c>
      <c r="F94" s="23">
        <v>54.1</v>
      </c>
      <c r="G94" s="23" t="s">
        <v>81</v>
      </c>
      <c r="H94" s="23" t="s">
        <v>201</v>
      </c>
      <c r="I94" s="30">
        <v>15</v>
      </c>
      <c r="J94" s="30"/>
      <c r="K94" s="30"/>
      <c r="L94" s="6"/>
      <c r="M94" s="22">
        <v>200</v>
      </c>
      <c r="N94" s="11">
        <v>120</v>
      </c>
      <c r="O94" s="11"/>
    </row>
    <row r="95" spans="1:20" s="5" customFormat="1">
      <c r="A95" s="10" t="s">
        <v>182</v>
      </c>
      <c r="B95" s="9" t="s">
        <v>464</v>
      </c>
      <c r="C95" s="9" t="s">
        <v>462</v>
      </c>
      <c r="D95" s="302"/>
      <c r="E95" s="11">
        <v>2</v>
      </c>
      <c r="F95" s="23">
        <v>54.1</v>
      </c>
      <c r="G95" s="23" t="s">
        <v>81</v>
      </c>
      <c r="H95" s="23" t="s">
        <v>201</v>
      </c>
      <c r="I95" s="30">
        <v>15</v>
      </c>
      <c r="J95" s="30"/>
      <c r="K95" s="30"/>
      <c r="L95" s="6"/>
      <c r="M95" s="22">
        <v>200</v>
      </c>
      <c r="N95" s="11">
        <v>120</v>
      </c>
      <c r="O95" s="11"/>
    </row>
    <row r="96" spans="1:20" s="5" customFormat="1">
      <c r="A96" s="10" t="s">
        <v>182</v>
      </c>
      <c r="B96" s="9" t="s">
        <v>463</v>
      </c>
      <c r="C96" s="9" t="s">
        <v>462</v>
      </c>
      <c r="D96" s="297"/>
      <c r="E96" s="11">
        <v>2</v>
      </c>
      <c r="F96" s="23">
        <v>54.7</v>
      </c>
      <c r="G96" s="23" t="s">
        <v>81</v>
      </c>
      <c r="H96" s="23" t="s">
        <v>201</v>
      </c>
      <c r="I96" s="30">
        <v>15</v>
      </c>
      <c r="J96" s="30"/>
      <c r="K96" s="30"/>
      <c r="L96" s="6"/>
      <c r="M96" s="22">
        <v>200</v>
      </c>
      <c r="N96" s="11">
        <v>120</v>
      </c>
      <c r="O96" s="11"/>
    </row>
    <row r="97" spans="1:17">
      <c r="A97" s="319" t="s">
        <v>159</v>
      </c>
      <c r="B97" s="5" t="s">
        <v>536</v>
      </c>
      <c r="C97" s="311" t="s">
        <v>537</v>
      </c>
      <c r="D97" s="361"/>
      <c r="E97" s="15">
        <v>4</v>
      </c>
      <c r="F97" s="13">
        <v>0.2</v>
      </c>
      <c r="G97" s="23" t="s">
        <v>358</v>
      </c>
      <c r="H97" s="23"/>
      <c r="I97" s="30">
        <v>15</v>
      </c>
      <c r="J97" s="38"/>
      <c r="K97" s="38"/>
      <c r="L97" s="6"/>
      <c r="M97" s="22"/>
      <c r="N97" s="11"/>
      <c r="O97" s="11"/>
      <c r="P97" s="31"/>
      <c r="Q97" s="5"/>
    </row>
    <row r="98" spans="1:17">
      <c r="A98" s="319" t="s">
        <v>165</v>
      </c>
      <c r="B98" s="12" t="s">
        <v>541</v>
      </c>
      <c r="C98" s="311"/>
      <c r="D98" s="361"/>
      <c r="E98" s="15"/>
      <c r="F98" s="13"/>
      <c r="G98" s="23" t="s">
        <v>544</v>
      </c>
      <c r="H98" s="23"/>
      <c r="I98" s="30"/>
      <c r="J98" s="38"/>
      <c r="K98" s="38"/>
      <c r="L98" s="6"/>
      <c r="M98" s="22"/>
      <c r="N98" s="11"/>
      <c r="O98" s="11"/>
      <c r="P98" s="31"/>
      <c r="Q98" s="5"/>
    </row>
    <row r="99" spans="1:17">
      <c r="A99" s="319" t="s">
        <v>173</v>
      </c>
      <c r="B99" s="12" t="s">
        <v>583</v>
      </c>
      <c r="C99" s="311"/>
      <c r="D99" s="361"/>
      <c r="E99" s="15"/>
      <c r="F99" s="13"/>
      <c r="G99" s="23" t="s">
        <v>584</v>
      </c>
      <c r="H99" s="23"/>
      <c r="I99" s="30"/>
      <c r="J99" s="38"/>
      <c r="K99" s="38"/>
      <c r="L99" s="6"/>
      <c r="M99" s="22"/>
      <c r="N99" s="11"/>
      <c r="O99" s="11"/>
      <c r="P99" s="31"/>
      <c r="Q99" s="5"/>
    </row>
    <row r="100" spans="1:17">
      <c r="A100" s="319" t="s">
        <v>180</v>
      </c>
      <c r="B100" s="12" t="s">
        <v>692</v>
      </c>
      <c r="C100" s="311" t="s">
        <v>693</v>
      </c>
      <c r="D100" s="361"/>
      <c r="E100" s="15">
        <v>10</v>
      </c>
      <c r="F100" s="401">
        <v>12.07</v>
      </c>
      <c r="G100" s="402" t="s">
        <v>584</v>
      </c>
      <c r="H100" s="402"/>
      <c r="I100" s="30"/>
      <c r="J100" s="38"/>
      <c r="K100" s="38"/>
      <c r="L100" s="6"/>
      <c r="M100" s="22"/>
      <c r="N100" s="11"/>
      <c r="O100" s="11"/>
      <c r="P100" s="31"/>
      <c r="Q100" s="5"/>
    </row>
  </sheetData>
  <phoneticPr fontId="12" type="noConversion"/>
  <dataValidations count="1">
    <dataValidation type="list" allowBlank="1" showInputMessage="1" showErrorMessage="1" sqref="A1:A1048576" xr:uid="{00000000-0002-0000-0300-000000000000}">
      <formula1>Vevő_név</formula1>
    </dataValidation>
  </dataValidations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Munka3"/>
  <dimension ref="A1:I13"/>
  <sheetViews>
    <sheetView zoomScale="130" zoomScaleNormal="130" workbookViewId="0">
      <selection activeCell="C27" sqref="C27"/>
    </sheetView>
  </sheetViews>
  <sheetFormatPr defaultColWidth="9.140625" defaultRowHeight="15"/>
  <cols>
    <col min="1" max="1" width="51.140625" style="18" customWidth="1"/>
    <col min="2" max="2" width="19.7109375" style="18" bestFit="1" customWidth="1"/>
    <col min="3" max="3" width="31.42578125" style="18" customWidth="1"/>
    <col min="4" max="4" width="15.42578125" style="18" customWidth="1"/>
    <col min="5" max="5" width="46.28515625" style="18" bestFit="1" customWidth="1"/>
    <col min="6" max="6" width="15.42578125" style="20" customWidth="1"/>
    <col min="7" max="7" width="71.42578125" style="18" customWidth="1"/>
    <col min="8" max="8" width="14.28515625" style="17" bestFit="1" customWidth="1"/>
    <col min="9" max="9" width="34.28515625" style="17" customWidth="1"/>
    <col min="10" max="16384" width="9.140625" style="17"/>
  </cols>
  <sheetData>
    <row r="1" spans="1:9" ht="16.5" thickBot="1">
      <c r="A1" s="16" t="s">
        <v>60</v>
      </c>
      <c r="B1" s="16" t="s">
        <v>313</v>
      </c>
      <c r="C1" s="16" t="s">
        <v>61</v>
      </c>
      <c r="D1" s="16" t="s">
        <v>62</v>
      </c>
      <c r="E1" s="16" t="s">
        <v>63</v>
      </c>
      <c r="F1" s="16" t="s">
        <v>64</v>
      </c>
      <c r="G1" s="16" t="s">
        <v>65</v>
      </c>
      <c r="H1" s="16" t="s">
        <v>187</v>
      </c>
      <c r="I1" s="21" t="s">
        <v>538</v>
      </c>
    </row>
    <row r="2" spans="1:9" ht="15.75">
      <c r="A2" s="18" t="s">
        <v>159</v>
      </c>
      <c r="B2" s="18" t="s">
        <v>314</v>
      </c>
      <c r="C2" s="18" t="s">
        <v>160</v>
      </c>
      <c r="D2" s="18" t="s">
        <v>161</v>
      </c>
      <c r="E2" s="18" t="s">
        <v>162</v>
      </c>
      <c r="F2" s="19" t="s">
        <v>163</v>
      </c>
      <c r="G2" s="18" t="str">
        <f t="shared" ref="G2:G11" si="0">CONCATENATE(D2," ",C2,", ",E2)</f>
        <v>720040 Bishkek, Yusup Abdrahmanov street 146</v>
      </c>
      <c r="H2" s="18" t="s">
        <v>164</v>
      </c>
      <c r="I2" s="18" t="s">
        <v>159</v>
      </c>
    </row>
    <row r="3" spans="1:9" ht="15.75">
      <c r="A3" s="18" t="s">
        <v>156</v>
      </c>
      <c r="B3" s="18" t="s">
        <v>315</v>
      </c>
      <c r="C3" s="18" t="s">
        <v>68</v>
      </c>
      <c r="D3" s="18" t="s">
        <v>69</v>
      </c>
      <c r="E3" s="18" t="s">
        <v>157</v>
      </c>
      <c r="F3" s="19" t="s">
        <v>67</v>
      </c>
      <c r="G3" s="18" t="str">
        <f t="shared" si="0"/>
        <v>2045 Törökbálint, FSD Park  4</v>
      </c>
      <c r="H3" s="18" t="s">
        <v>158</v>
      </c>
      <c r="I3" s="18" t="s">
        <v>156</v>
      </c>
    </row>
    <row r="4" spans="1:9" ht="15.75">
      <c r="A4" s="18" t="s">
        <v>165</v>
      </c>
      <c r="B4" s="18" t="s">
        <v>314</v>
      </c>
      <c r="C4" s="18" t="s">
        <v>166</v>
      </c>
      <c r="D4" s="18" t="s">
        <v>167</v>
      </c>
      <c r="E4" s="18" t="s">
        <v>168</v>
      </c>
      <c r="F4" s="19" t="s">
        <v>169</v>
      </c>
      <c r="G4" s="18" t="str">
        <f t="shared" si="0"/>
        <v>31030 Albaredo Di Vedelago(Tv), Via Dei Piazotti  24</v>
      </c>
      <c r="H4" s="18" t="s">
        <v>170</v>
      </c>
      <c r="I4" s="18" t="s">
        <v>165</v>
      </c>
    </row>
    <row r="5" spans="1:9" ht="15.75">
      <c r="A5" s="18" t="s">
        <v>171</v>
      </c>
      <c r="B5" s="18" t="s">
        <v>315</v>
      </c>
      <c r="C5" s="18" t="s">
        <v>66</v>
      </c>
      <c r="D5" s="18" t="s">
        <v>72</v>
      </c>
      <c r="E5" s="18" t="s">
        <v>73</v>
      </c>
      <c r="F5" s="19" t="s">
        <v>67</v>
      </c>
      <c r="G5" s="18" t="str">
        <f t="shared" si="0"/>
        <v>1211 Budapest, Déli utca 13.</v>
      </c>
      <c r="H5" s="18" t="s">
        <v>172</v>
      </c>
      <c r="I5" s="18" t="s">
        <v>171</v>
      </c>
    </row>
    <row r="6" spans="1:9" ht="15.75">
      <c r="A6" s="18" t="s">
        <v>173</v>
      </c>
      <c r="B6" s="18" t="s">
        <v>315</v>
      </c>
      <c r="C6" s="18" t="s">
        <v>66</v>
      </c>
      <c r="D6" s="18" t="s">
        <v>174</v>
      </c>
      <c r="E6" s="18" t="s">
        <v>175</v>
      </c>
      <c r="F6" s="19" t="s">
        <v>67</v>
      </c>
      <c r="G6" s="18" t="str">
        <f t="shared" si="0"/>
        <v>1205 Budapest, Határ út 57</v>
      </c>
      <c r="H6" s="18" t="s">
        <v>176</v>
      </c>
      <c r="I6" s="18" t="s">
        <v>173</v>
      </c>
    </row>
    <row r="7" spans="1:9" ht="15.75">
      <c r="A7" s="18" t="s">
        <v>177</v>
      </c>
      <c r="B7" s="18" t="s">
        <v>315</v>
      </c>
      <c r="C7" s="18" t="s">
        <v>74</v>
      </c>
      <c r="D7" s="18" t="s">
        <v>75</v>
      </c>
      <c r="E7" s="18" t="s">
        <v>178</v>
      </c>
      <c r="F7" s="19" t="s">
        <v>67</v>
      </c>
      <c r="G7" s="18" t="str">
        <f t="shared" si="0"/>
        <v>3441 Mezőkeresztes, Mihály utca 142</v>
      </c>
      <c r="H7" s="18" t="s">
        <v>179</v>
      </c>
      <c r="I7" s="18" t="s">
        <v>177</v>
      </c>
    </row>
    <row r="8" spans="1:9" ht="15.75">
      <c r="A8" s="18" t="s">
        <v>188</v>
      </c>
      <c r="B8" s="18" t="s">
        <v>315</v>
      </c>
      <c r="C8" s="19" t="s">
        <v>70</v>
      </c>
      <c r="D8" s="18">
        <v>2351</v>
      </c>
      <c r="E8" s="18" t="s">
        <v>71</v>
      </c>
      <c r="F8" s="19" t="s">
        <v>67</v>
      </c>
      <c r="G8" s="18" t="str">
        <f t="shared" si="0"/>
        <v>2351 Alsónémedi, RaktárAD utca D3.</v>
      </c>
      <c r="H8" s="18" t="s">
        <v>189</v>
      </c>
      <c r="I8" s="18" t="s">
        <v>77</v>
      </c>
    </row>
    <row r="9" spans="1:9" ht="15.75">
      <c r="A9" s="18" t="s">
        <v>180</v>
      </c>
      <c r="B9" s="18" t="s">
        <v>314</v>
      </c>
      <c r="C9" s="18" t="s">
        <v>404</v>
      </c>
      <c r="D9" s="18">
        <v>35112</v>
      </c>
      <c r="E9" s="18" t="s">
        <v>405</v>
      </c>
      <c r="F9" s="19" t="s">
        <v>263</v>
      </c>
      <c r="G9" s="18" t="str">
        <f>CONCATENATE(D9," ",C9,", ",E9)</f>
        <v>35112 Fronhausen, Marburger strasse 60.</v>
      </c>
      <c r="H9" s="18" t="s">
        <v>181</v>
      </c>
      <c r="I9" s="18" t="s">
        <v>180</v>
      </c>
    </row>
    <row r="10" spans="1:9" ht="15.75">
      <c r="A10" s="18" t="s">
        <v>182</v>
      </c>
      <c r="B10" s="18" t="s">
        <v>314</v>
      </c>
      <c r="C10" s="18" t="s">
        <v>183</v>
      </c>
      <c r="D10" s="18" t="s">
        <v>184</v>
      </c>
      <c r="E10" s="18" t="s">
        <v>185</v>
      </c>
      <c r="F10" s="19" t="s">
        <v>263</v>
      </c>
      <c r="G10" s="18" t="str">
        <f t="shared" si="0"/>
        <v>82178 Puchheim, Lindberghstrasse  8</v>
      </c>
      <c r="H10" s="18" t="s">
        <v>186</v>
      </c>
      <c r="I10" s="18" t="s">
        <v>182</v>
      </c>
    </row>
    <row r="11" spans="1:9" ht="15.75">
      <c r="A11" s="18" t="s">
        <v>354</v>
      </c>
      <c r="B11" s="18" t="s">
        <v>314</v>
      </c>
      <c r="C11" s="18" t="s">
        <v>355</v>
      </c>
      <c r="D11" s="18">
        <v>71254</v>
      </c>
      <c r="E11" s="363" t="s">
        <v>356</v>
      </c>
      <c r="F11" s="19" t="s">
        <v>263</v>
      </c>
      <c r="G11" s="18" t="str">
        <f t="shared" si="0"/>
        <v>71254 Ditzingen-Heimerdingen, Otto-Hahn-StraBe Tor 2</v>
      </c>
      <c r="H11" s="18"/>
      <c r="I11" s="18"/>
    </row>
    <row r="12" spans="1:9" ht="15.75">
      <c r="A12" s="18" t="s">
        <v>474</v>
      </c>
      <c r="B12" s="18" t="s">
        <v>315</v>
      </c>
      <c r="C12" s="18" t="s">
        <v>66</v>
      </c>
      <c r="D12" s="18" t="s">
        <v>72</v>
      </c>
      <c r="E12" s="18" t="s">
        <v>475</v>
      </c>
      <c r="F12" s="19" t="s">
        <v>67</v>
      </c>
      <c r="G12" s="18" t="str">
        <f t="shared" ref="G12" si="1">CONCATENATE(D12," ",C12,", ",E12)</f>
        <v>1211 Budapest,  Budafoki út 5-7.</v>
      </c>
      <c r="H12" s="18" t="s">
        <v>477</v>
      </c>
      <c r="I12" s="18" t="s">
        <v>476</v>
      </c>
    </row>
    <row r="13" spans="1:9" ht="15.75">
      <c r="A13" s="18" t="s">
        <v>182</v>
      </c>
      <c r="B13" s="18" t="s">
        <v>314</v>
      </c>
      <c r="C13" s="18" t="s">
        <v>183</v>
      </c>
      <c r="D13" s="18">
        <v>82178</v>
      </c>
      <c r="E13" s="18" t="s">
        <v>185</v>
      </c>
      <c r="F13" s="19" t="s">
        <v>263</v>
      </c>
      <c r="G13" s="18" t="s">
        <v>539</v>
      </c>
      <c r="H13" s="18" t="s">
        <v>186</v>
      </c>
      <c r="I13" s="18" t="s">
        <v>182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unka10"/>
  <dimension ref="A1:C81"/>
  <sheetViews>
    <sheetView workbookViewId="0">
      <selection activeCell="L22" sqref="L22"/>
    </sheetView>
  </sheetViews>
  <sheetFormatPr defaultColWidth="8.85546875" defaultRowHeight="15"/>
  <cols>
    <col min="1" max="1" width="27.28515625" style="34" bestFit="1" customWidth="1"/>
    <col min="2" max="2" width="9.140625" style="34"/>
    <col min="3" max="3" width="15.42578125" style="34" bestFit="1" customWidth="1"/>
  </cols>
  <sheetData>
    <row r="1" spans="1:2">
      <c r="A1" s="413" t="s">
        <v>234</v>
      </c>
      <c r="B1" s="413"/>
    </row>
    <row r="2" spans="1:2">
      <c r="A2" s="6" t="s">
        <v>309</v>
      </c>
      <c r="B2" s="6" t="s">
        <v>310</v>
      </c>
    </row>
    <row r="3" spans="1:2">
      <c r="A3" s="6" t="s">
        <v>312</v>
      </c>
      <c r="B3" s="356" t="s">
        <v>311</v>
      </c>
    </row>
    <row r="4" spans="1:2">
      <c r="A4" s="6" t="s">
        <v>180</v>
      </c>
      <c r="B4" s="6">
        <v>13</v>
      </c>
    </row>
    <row r="5" spans="1:2">
      <c r="A5" s="6" t="s">
        <v>180</v>
      </c>
      <c r="B5" s="6">
        <v>14</v>
      </c>
    </row>
    <row r="6" spans="1:2">
      <c r="A6" s="6" t="s">
        <v>156</v>
      </c>
      <c r="B6" s="6">
        <v>15</v>
      </c>
    </row>
    <row r="7" spans="1:2">
      <c r="A7" s="6" t="s">
        <v>156</v>
      </c>
      <c r="B7" s="6">
        <v>16</v>
      </c>
    </row>
    <row r="8" spans="1:2">
      <c r="A8" s="6" t="s">
        <v>180</v>
      </c>
      <c r="B8" s="6">
        <v>17</v>
      </c>
    </row>
    <row r="9" spans="1:2">
      <c r="A9" s="6" t="s">
        <v>180</v>
      </c>
      <c r="B9" s="6">
        <v>18</v>
      </c>
    </row>
    <row r="10" spans="1:2">
      <c r="A10" s="6" t="s">
        <v>180</v>
      </c>
      <c r="B10" s="6">
        <v>19</v>
      </c>
    </row>
    <row r="11" spans="1:2">
      <c r="A11" s="6" t="s">
        <v>156</v>
      </c>
      <c r="B11" s="6">
        <v>20</v>
      </c>
    </row>
    <row r="12" spans="1:2">
      <c r="A12" s="6" t="s">
        <v>180</v>
      </c>
      <c r="B12" s="6">
        <v>21</v>
      </c>
    </row>
    <row r="13" spans="1:2">
      <c r="A13" s="6" t="s">
        <v>182</v>
      </c>
      <c r="B13" s="6">
        <v>22</v>
      </c>
    </row>
    <row r="14" spans="1:2">
      <c r="A14" s="6" t="s">
        <v>180</v>
      </c>
      <c r="B14" s="6">
        <v>23</v>
      </c>
    </row>
    <row r="15" spans="1:2">
      <c r="A15" s="6" t="s">
        <v>180</v>
      </c>
      <c r="B15" s="6">
        <v>24</v>
      </c>
    </row>
    <row r="16" spans="1:2">
      <c r="A16" s="6" t="s">
        <v>180</v>
      </c>
      <c r="B16" s="6">
        <v>25</v>
      </c>
    </row>
    <row r="17" spans="1:2">
      <c r="A17" s="6" t="s">
        <v>180</v>
      </c>
      <c r="B17" s="6">
        <v>26</v>
      </c>
    </row>
    <row r="18" spans="1:2">
      <c r="A18" s="6" t="s">
        <v>180</v>
      </c>
      <c r="B18" s="6">
        <v>27</v>
      </c>
    </row>
    <row r="19" spans="1:2">
      <c r="A19" s="6" t="s">
        <v>156</v>
      </c>
      <c r="B19" s="6">
        <v>28</v>
      </c>
    </row>
    <row r="20" spans="1:2">
      <c r="A20" s="6" t="s">
        <v>182</v>
      </c>
      <c r="B20" s="6">
        <v>29</v>
      </c>
    </row>
    <row r="21" spans="1:2">
      <c r="A21" s="6" t="s">
        <v>180</v>
      </c>
      <c r="B21" s="6">
        <v>30</v>
      </c>
    </row>
    <row r="22" spans="1:2">
      <c r="A22" s="6" t="s">
        <v>182</v>
      </c>
      <c r="B22" s="6">
        <v>31</v>
      </c>
    </row>
    <row r="23" spans="1:2">
      <c r="A23" s="6" t="s">
        <v>474</v>
      </c>
      <c r="B23" s="6">
        <v>32</v>
      </c>
    </row>
    <row r="24" spans="1:2">
      <c r="A24" s="6" t="s">
        <v>165</v>
      </c>
      <c r="B24" s="6">
        <v>33</v>
      </c>
    </row>
    <row r="25" spans="1:2">
      <c r="A25" s="6" t="s">
        <v>182</v>
      </c>
      <c r="B25" s="6">
        <v>34</v>
      </c>
    </row>
    <row r="26" spans="1:2">
      <c r="A26" s="6" t="s">
        <v>156</v>
      </c>
      <c r="B26" s="6">
        <v>35</v>
      </c>
    </row>
    <row r="27" spans="1:2">
      <c r="A27" s="6" t="s">
        <v>156</v>
      </c>
      <c r="B27" s="6">
        <v>36</v>
      </c>
    </row>
    <row r="28" spans="1:2">
      <c r="A28" s="6" t="s">
        <v>156</v>
      </c>
      <c r="B28" s="6">
        <v>37</v>
      </c>
    </row>
    <row r="29" spans="1:2">
      <c r="A29" s="6" t="s">
        <v>474</v>
      </c>
      <c r="B29" s="6">
        <v>38</v>
      </c>
    </row>
    <row r="30" spans="1:2">
      <c r="A30" s="6" t="s">
        <v>156</v>
      </c>
      <c r="B30" s="6">
        <v>39</v>
      </c>
    </row>
    <row r="31" spans="1:2">
      <c r="A31" s="6" t="s">
        <v>156</v>
      </c>
      <c r="B31" s="6">
        <v>40</v>
      </c>
    </row>
    <row r="32" spans="1:2">
      <c r="A32" s="6" t="s">
        <v>156</v>
      </c>
      <c r="B32" s="6">
        <v>41</v>
      </c>
    </row>
    <row r="33" spans="1:2">
      <c r="A33" s="6" t="s">
        <v>182</v>
      </c>
      <c r="B33" s="6">
        <v>42</v>
      </c>
    </row>
    <row r="34" spans="1:2">
      <c r="A34" s="6" t="s">
        <v>180</v>
      </c>
      <c r="B34" s="6">
        <v>43</v>
      </c>
    </row>
    <row r="35" spans="1:2">
      <c r="A35" s="6" t="s">
        <v>180</v>
      </c>
      <c r="B35" s="6">
        <v>44</v>
      </c>
    </row>
    <row r="36" spans="1:2">
      <c r="A36" s="6" t="s">
        <v>474</v>
      </c>
      <c r="B36" s="6">
        <v>45</v>
      </c>
    </row>
    <row r="37" spans="1:2">
      <c r="A37" s="6" t="s">
        <v>156</v>
      </c>
      <c r="B37" s="6">
        <v>46</v>
      </c>
    </row>
    <row r="38" spans="1:2">
      <c r="A38" s="6" t="s">
        <v>156</v>
      </c>
      <c r="B38" s="6">
        <v>47</v>
      </c>
    </row>
    <row r="39" spans="1:2">
      <c r="A39" s="6" t="s">
        <v>474</v>
      </c>
      <c r="B39" s="6">
        <v>48</v>
      </c>
    </row>
    <row r="40" spans="1:2">
      <c r="A40" s="6" t="s">
        <v>474</v>
      </c>
      <c r="B40" s="6">
        <v>49</v>
      </c>
    </row>
    <row r="41" spans="1:2">
      <c r="A41" s="6" t="s">
        <v>474</v>
      </c>
      <c r="B41" s="6">
        <v>50</v>
      </c>
    </row>
    <row r="42" spans="1:2">
      <c r="A42" s="6" t="s">
        <v>156</v>
      </c>
      <c r="B42" s="6">
        <v>51</v>
      </c>
    </row>
    <row r="43" spans="1:2">
      <c r="A43" s="6" t="s">
        <v>474</v>
      </c>
      <c r="B43" s="6">
        <v>52</v>
      </c>
    </row>
    <row r="44" spans="1:2">
      <c r="A44" s="6" t="s">
        <v>474</v>
      </c>
      <c r="B44" s="6">
        <v>53</v>
      </c>
    </row>
    <row r="45" spans="1:2">
      <c r="A45" s="6" t="s">
        <v>156</v>
      </c>
      <c r="B45" s="6">
        <v>54</v>
      </c>
    </row>
    <row r="46" spans="1:2">
      <c r="A46" s="6" t="s">
        <v>474</v>
      </c>
      <c r="B46" s="6">
        <v>55</v>
      </c>
    </row>
    <row r="47" spans="1:2">
      <c r="A47" s="6" t="s">
        <v>180</v>
      </c>
      <c r="B47" s="6">
        <v>56</v>
      </c>
    </row>
    <row r="48" spans="1:2">
      <c r="A48" s="6" t="s">
        <v>180</v>
      </c>
      <c r="B48" s="6">
        <v>57</v>
      </c>
    </row>
    <row r="49" spans="1:2">
      <c r="A49" s="6" t="s">
        <v>182</v>
      </c>
      <c r="B49" s="6">
        <v>58</v>
      </c>
    </row>
    <row r="50" spans="1:2">
      <c r="A50" s="6" t="s">
        <v>182</v>
      </c>
      <c r="B50" s="6">
        <v>59</v>
      </c>
    </row>
    <row r="51" spans="1:2">
      <c r="A51" s="6" t="s">
        <v>182</v>
      </c>
      <c r="B51" s="6">
        <v>60</v>
      </c>
    </row>
    <row r="52" spans="1:2">
      <c r="A52" s="6" t="s">
        <v>180</v>
      </c>
      <c r="B52" s="6">
        <v>61</v>
      </c>
    </row>
    <row r="53" spans="1:2">
      <c r="A53" s="6" t="s">
        <v>474</v>
      </c>
      <c r="B53" s="6">
        <v>62</v>
      </c>
    </row>
    <row r="54" spans="1:2">
      <c r="A54" s="6" t="s">
        <v>156</v>
      </c>
      <c r="B54" s="6">
        <v>63</v>
      </c>
    </row>
    <row r="55" spans="1:2">
      <c r="A55" s="34" t="s">
        <v>182</v>
      </c>
      <c r="B55" s="34">
        <v>64</v>
      </c>
    </row>
    <row r="56" spans="1:2">
      <c r="A56" s="34" t="s">
        <v>582</v>
      </c>
      <c r="B56" s="34">
        <v>65</v>
      </c>
    </row>
    <row r="57" spans="1:2">
      <c r="A57" s="34" t="s">
        <v>173</v>
      </c>
      <c r="B57" s="34">
        <v>66</v>
      </c>
    </row>
    <row r="58" spans="1:2">
      <c r="A58" s="34" t="s">
        <v>180</v>
      </c>
      <c r="B58" s="34">
        <v>67</v>
      </c>
    </row>
    <row r="59" spans="1:2">
      <c r="A59" s="34" t="s">
        <v>180</v>
      </c>
      <c r="B59" s="34">
        <v>68</v>
      </c>
    </row>
    <row r="60" spans="1:2">
      <c r="A60" s="34" t="s">
        <v>474</v>
      </c>
      <c r="B60" s="34">
        <v>69</v>
      </c>
    </row>
    <row r="61" spans="1:2">
      <c r="A61" s="34" t="s">
        <v>474</v>
      </c>
      <c r="B61" s="34">
        <v>70</v>
      </c>
    </row>
    <row r="62" spans="1:2">
      <c r="A62" s="34" t="s">
        <v>156</v>
      </c>
      <c r="B62" s="34">
        <v>71</v>
      </c>
    </row>
    <row r="63" spans="1:2">
      <c r="A63" s="34" t="s">
        <v>156</v>
      </c>
      <c r="B63" s="34">
        <v>72</v>
      </c>
    </row>
    <row r="64" spans="1:2">
      <c r="A64" s="34" t="s">
        <v>180</v>
      </c>
      <c r="B64" s="34">
        <v>73</v>
      </c>
    </row>
    <row r="65" spans="1:2">
      <c r="A65" s="34" t="s">
        <v>180</v>
      </c>
      <c r="B65" s="34">
        <v>74</v>
      </c>
    </row>
    <row r="66" spans="1:2">
      <c r="A66" s="34" t="s">
        <v>156</v>
      </c>
      <c r="B66" s="34">
        <v>75</v>
      </c>
    </row>
    <row r="67" spans="1:2">
      <c r="A67" s="34" t="s">
        <v>474</v>
      </c>
      <c r="B67" s="34">
        <v>76</v>
      </c>
    </row>
    <row r="68" spans="1:2">
      <c r="A68" s="34" t="s">
        <v>165</v>
      </c>
      <c r="B68" s="34">
        <v>77</v>
      </c>
    </row>
    <row r="69" spans="1:2">
      <c r="A69" s="34" t="s">
        <v>165</v>
      </c>
      <c r="B69" s="34">
        <v>78</v>
      </c>
    </row>
    <row r="70" spans="1:2">
      <c r="A70" s="34" t="s">
        <v>474</v>
      </c>
      <c r="B70" s="34">
        <v>79</v>
      </c>
    </row>
    <row r="71" spans="1:2">
      <c r="A71" s="34" t="s">
        <v>180</v>
      </c>
      <c r="B71" s="34">
        <v>80</v>
      </c>
    </row>
    <row r="72" spans="1:2">
      <c r="A72" s="34" t="s">
        <v>180</v>
      </c>
      <c r="B72" s="34">
        <v>81</v>
      </c>
    </row>
    <row r="73" spans="1:2">
      <c r="A73" s="34" t="s">
        <v>180</v>
      </c>
      <c r="B73" s="34">
        <v>82</v>
      </c>
    </row>
    <row r="74" spans="1:2">
      <c r="A74" s="34" t="s">
        <v>180</v>
      </c>
      <c r="B74" s="34">
        <v>3</v>
      </c>
    </row>
    <row r="75" spans="1:2">
      <c r="A75" s="34" t="s">
        <v>474</v>
      </c>
      <c r="B75" s="34">
        <v>4</v>
      </c>
    </row>
    <row r="76" spans="1:2">
      <c r="A76" s="34" t="s">
        <v>180</v>
      </c>
      <c r="B76" s="34">
        <v>5</v>
      </c>
    </row>
    <row r="77" spans="1:2">
      <c r="A77" s="34" t="s">
        <v>156</v>
      </c>
      <c r="B77" s="34">
        <v>6</v>
      </c>
    </row>
    <row r="78" spans="1:2">
      <c r="A78" s="34" t="s">
        <v>474</v>
      </c>
      <c r="B78" s="34">
        <v>7</v>
      </c>
    </row>
    <row r="79" spans="1:2">
      <c r="A79" s="34" t="s">
        <v>180</v>
      </c>
      <c r="B79" s="34">
        <v>8</v>
      </c>
    </row>
    <row r="80" spans="1:2">
      <c r="A80" s="34" t="s">
        <v>180</v>
      </c>
      <c r="B80" s="34">
        <v>9</v>
      </c>
    </row>
    <row r="81" spans="1:2">
      <c r="A81" s="34" t="s">
        <v>156</v>
      </c>
      <c r="B81" s="34">
        <v>10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2E37-A883-43AC-B208-30800D06CCEA}">
  <sheetPr codeName="Munka15"/>
  <dimension ref="A1:H564"/>
  <sheetViews>
    <sheetView zoomScale="115" zoomScaleNormal="115" workbookViewId="0">
      <selection activeCell="P51" sqref="P51"/>
    </sheetView>
  </sheetViews>
  <sheetFormatPr defaultColWidth="8.85546875" defaultRowHeight="15"/>
  <cols>
    <col min="1" max="1" width="15.140625" style="320" customWidth="1"/>
    <col min="2" max="2" width="45.7109375" style="324" customWidth="1"/>
    <col min="3" max="3" width="13.42578125" style="321" customWidth="1"/>
    <col min="4" max="4" width="11.42578125" style="325" customWidth="1"/>
    <col min="5" max="5" width="30.85546875" style="326" customWidth="1"/>
    <col min="6" max="6" width="12.42578125" style="320" customWidth="1"/>
    <col min="7" max="7" width="13" style="323" customWidth="1"/>
    <col min="8" max="8" width="16" style="323" customWidth="1"/>
  </cols>
  <sheetData>
    <row r="1" spans="1:8">
      <c r="A1" s="320" t="s">
        <v>509</v>
      </c>
      <c r="B1" s="320" t="s">
        <v>510</v>
      </c>
      <c r="C1" s="321" t="s">
        <v>511</v>
      </c>
      <c r="D1" s="321" t="s">
        <v>512</v>
      </c>
      <c r="E1" s="322" t="s">
        <v>0</v>
      </c>
      <c r="F1" s="320" t="s">
        <v>513</v>
      </c>
      <c r="G1" s="323" t="s">
        <v>514</v>
      </c>
      <c r="H1" s="323" t="s">
        <v>515</v>
      </c>
    </row>
    <row r="2" spans="1:8">
      <c r="A2" s="320" t="s">
        <v>197</v>
      </c>
      <c r="B2" s="324" t="s">
        <v>182</v>
      </c>
    </row>
    <row r="3" spans="1:8">
      <c r="A3" s="320" t="s">
        <v>190</v>
      </c>
      <c r="B3" s="324" t="s">
        <v>180</v>
      </c>
    </row>
    <row r="4" spans="1:8">
      <c r="A4" s="320" t="s">
        <v>202</v>
      </c>
      <c r="B4" s="324" t="s">
        <v>180</v>
      </c>
    </row>
    <row r="5" spans="1:8">
      <c r="A5" s="320" t="s">
        <v>279</v>
      </c>
      <c r="B5" s="324" t="s">
        <v>156</v>
      </c>
    </row>
    <row r="6" spans="1:8">
      <c r="A6" s="320" t="s">
        <v>280</v>
      </c>
      <c r="B6" s="324" t="s">
        <v>156</v>
      </c>
    </row>
    <row r="7" spans="1:8">
      <c r="A7" s="320" t="s">
        <v>281</v>
      </c>
      <c r="B7" s="324" t="s">
        <v>180</v>
      </c>
    </row>
    <row r="8" spans="1:8">
      <c r="A8" s="320" t="s">
        <v>282</v>
      </c>
      <c r="B8" s="324" t="s">
        <v>159</v>
      </c>
    </row>
    <row r="9" spans="1:8">
      <c r="A9" s="320" t="s">
        <v>283</v>
      </c>
      <c r="B9" s="324" t="s">
        <v>156</v>
      </c>
    </row>
    <row r="10" spans="1:8">
      <c r="A10" s="320" t="s">
        <v>284</v>
      </c>
      <c r="B10" s="324" t="s">
        <v>156</v>
      </c>
    </row>
    <row r="11" spans="1:8">
      <c r="A11" s="320" t="s">
        <v>285</v>
      </c>
      <c r="B11" s="324" t="s">
        <v>156</v>
      </c>
    </row>
    <row r="12" spans="1:8">
      <c r="A12" s="320" t="s">
        <v>286</v>
      </c>
      <c r="B12" s="324" t="s">
        <v>156</v>
      </c>
    </row>
    <row r="13" spans="1:8">
      <c r="A13" s="320" t="s">
        <v>287</v>
      </c>
      <c r="B13" s="324" t="s">
        <v>180</v>
      </c>
    </row>
    <row r="14" spans="1:8">
      <c r="A14" s="320" t="s">
        <v>288</v>
      </c>
      <c r="B14" s="324" t="s">
        <v>156</v>
      </c>
    </row>
    <row r="15" spans="1:8">
      <c r="A15" s="320" t="s">
        <v>289</v>
      </c>
      <c r="B15" s="324" t="s">
        <v>182</v>
      </c>
    </row>
    <row r="16" spans="1:8">
      <c r="A16" s="320" t="s">
        <v>290</v>
      </c>
      <c r="B16" s="324" t="s">
        <v>182</v>
      </c>
    </row>
    <row r="17" spans="1:7">
      <c r="A17" s="320" t="s">
        <v>291</v>
      </c>
      <c r="B17" s="324" t="s">
        <v>180</v>
      </c>
    </row>
    <row r="18" spans="1:7">
      <c r="A18" s="320" t="s">
        <v>292</v>
      </c>
      <c r="B18" s="324" t="s">
        <v>180</v>
      </c>
    </row>
    <row r="19" spans="1:7">
      <c r="A19" s="320" t="s">
        <v>293</v>
      </c>
      <c r="B19" s="324" t="s">
        <v>156</v>
      </c>
    </row>
    <row r="20" spans="1:7">
      <c r="A20" s="320" t="s">
        <v>294</v>
      </c>
      <c r="B20" s="324" t="s">
        <v>182</v>
      </c>
    </row>
    <row r="21" spans="1:7">
      <c r="A21" s="320" t="s">
        <v>295</v>
      </c>
      <c r="B21" s="324" t="s">
        <v>180</v>
      </c>
      <c r="E21" s="327"/>
    </row>
    <row r="22" spans="1:7">
      <c r="A22" s="320" t="s">
        <v>296</v>
      </c>
      <c r="B22" s="324" t="s">
        <v>165</v>
      </c>
    </row>
    <row r="23" spans="1:7">
      <c r="A23" s="320" t="s">
        <v>297</v>
      </c>
      <c r="B23" s="324" t="s">
        <v>165</v>
      </c>
    </row>
    <row r="24" spans="1:7">
      <c r="A24" s="320" t="s">
        <v>298</v>
      </c>
      <c r="B24" s="324" t="s">
        <v>156</v>
      </c>
    </row>
    <row r="25" spans="1:7">
      <c r="A25" s="320" t="s">
        <v>299</v>
      </c>
      <c r="B25" s="324" t="s">
        <v>180</v>
      </c>
    </row>
    <row r="26" spans="1:7">
      <c r="A26" s="320" t="s">
        <v>300</v>
      </c>
      <c r="B26" s="324" t="s">
        <v>180</v>
      </c>
    </row>
    <row r="27" spans="1:7">
      <c r="A27" s="320" t="s">
        <v>301</v>
      </c>
      <c r="B27" s="324" t="s">
        <v>182</v>
      </c>
    </row>
    <row r="28" spans="1:7">
      <c r="A28" s="320" t="s">
        <v>302</v>
      </c>
      <c r="B28" s="324" t="s">
        <v>156</v>
      </c>
      <c r="G28" s="328"/>
    </row>
    <row r="29" spans="1:7">
      <c r="A29" s="320" t="s">
        <v>305</v>
      </c>
      <c r="B29" s="324" t="s">
        <v>182</v>
      </c>
      <c r="G29" s="328"/>
    </row>
    <row r="30" spans="1:7">
      <c r="A30" s="320" t="s">
        <v>360</v>
      </c>
      <c r="B30" s="324" t="s">
        <v>180</v>
      </c>
      <c r="E30" s="327"/>
    </row>
    <row r="31" spans="1:7">
      <c r="A31" s="320" t="s">
        <v>361</v>
      </c>
      <c r="B31" s="324" t="s">
        <v>180</v>
      </c>
      <c r="E31" s="327"/>
    </row>
    <row r="32" spans="1:7">
      <c r="A32" s="320" t="s">
        <v>362</v>
      </c>
      <c r="B32" s="324" t="s">
        <v>159</v>
      </c>
      <c r="E32" s="327"/>
    </row>
    <row r="33" spans="1:7">
      <c r="A33" s="320" t="s">
        <v>363</v>
      </c>
      <c r="B33" s="324" t="s">
        <v>159</v>
      </c>
    </row>
    <row r="34" spans="1:7">
      <c r="A34" s="320" t="s">
        <v>364</v>
      </c>
      <c r="B34" s="324" t="s">
        <v>156</v>
      </c>
    </row>
    <row r="35" spans="1:7">
      <c r="A35" s="320" t="s">
        <v>488</v>
      </c>
      <c r="B35" s="324" t="s">
        <v>180</v>
      </c>
      <c r="G35" s="328"/>
    </row>
    <row r="36" spans="1:7">
      <c r="A36" s="320" t="s">
        <v>489</v>
      </c>
      <c r="B36" s="324" t="s">
        <v>156</v>
      </c>
    </row>
    <row r="37" spans="1:7">
      <c r="A37" s="320" t="s">
        <v>490</v>
      </c>
      <c r="B37" s="324" t="s">
        <v>474</v>
      </c>
    </row>
    <row r="38" spans="1:7">
      <c r="A38" s="320" t="s">
        <v>491</v>
      </c>
      <c r="B38" s="324" t="s">
        <v>474</v>
      </c>
    </row>
    <row r="39" spans="1:7">
      <c r="A39" s="320" t="s">
        <v>492</v>
      </c>
      <c r="B39" s="324" t="s">
        <v>180</v>
      </c>
    </row>
    <row r="40" spans="1:7">
      <c r="A40" s="320" t="s">
        <v>494</v>
      </c>
      <c r="B40" s="324" t="s">
        <v>180</v>
      </c>
      <c r="E40" s="327"/>
    </row>
    <row r="41" spans="1:7">
      <c r="A41" s="320" t="s">
        <v>495</v>
      </c>
      <c r="B41" s="324" t="s">
        <v>156</v>
      </c>
      <c r="E41" s="327"/>
    </row>
    <row r="42" spans="1:7">
      <c r="A42" s="320" t="s">
        <v>497</v>
      </c>
      <c r="B42" s="324" t="s">
        <v>156</v>
      </c>
      <c r="E42" s="327"/>
    </row>
    <row r="43" spans="1:7">
      <c r="A43" s="320" t="s">
        <v>502</v>
      </c>
      <c r="B43" s="324" t="s">
        <v>182</v>
      </c>
      <c r="E43" s="327"/>
    </row>
    <row r="44" spans="1:7">
      <c r="A44" s="320" t="s">
        <v>516</v>
      </c>
      <c r="B44" s="324" t="s">
        <v>156</v>
      </c>
    </row>
    <row r="45" spans="1:7">
      <c r="A45" s="320" t="s">
        <v>517</v>
      </c>
      <c r="B45" s="324" t="s">
        <v>156</v>
      </c>
    </row>
    <row r="46" spans="1:7">
      <c r="A46" s="320" t="s">
        <v>518</v>
      </c>
      <c r="B46" s="324" t="s">
        <v>156</v>
      </c>
    </row>
    <row r="47" spans="1:7">
      <c r="A47" s="320" t="s">
        <v>519</v>
      </c>
      <c r="B47" s="324" t="s">
        <v>180</v>
      </c>
    </row>
    <row r="48" spans="1:7">
      <c r="A48" s="320" t="s">
        <v>520</v>
      </c>
      <c r="B48" s="324" t="s">
        <v>159</v>
      </c>
    </row>
    <row r="49" spans="1:5">
      <c r="A49" s="320" t="s">
        <v>521</v>
      </c>
      <c r="B49" s="324" t="s">
        <v>474</v>
      </c>
      <c r="C49" s="329"/>
      <c r="D49" s="330"/>
    </row>
    <row r="50" spans="1:5">
      <c r="A50" s="320" t="s">
        <v>522</v>
      </c>
      <c r="B50" s="324" t="s">
        <v>474</v>
      </c>
    </row>
    <row r="51" spans="1:5">
      <c r="A51" s="320" t="s">
        <v>523</v>
      </c>
      <c r="B51" s="324" t="s">
        <v>474</v>
      </c>
    </row>
    <row r="52" spans="1:5">
      <c r="A52" s="320" t="s">
        <v>524</v>
      </c>
      <c r="B52" s="324" t="s">
        <v>180</v>
      </c>
    </row>
    <row r="53" spans="1:5">
      <c r="A53" s="320" t="s">
        <v>525</v>
      </c>
      <c r="B53" s="324" t="s">
        <v>156</v>
      </c>
    </row>
    <row r="54" spans="1:5">
      <c r="A54" s="320" t="s">
        <v>526</v>
      </c>
      <c r="B54" s="324" t="s">
        <v>156</v>
      </c>
    </row>
    <row r="55" spans="1:5">
      <c r="A55" s="320" t="s">
        <v>527</v>
      </c>
      <c r="B55" s="324" t="s">
        <v>180</v>
      </c>
      <c r="E55" s="327"/>
    </row>
    <row r="56" spans="1:5">
      <c r="A56" s="320" t="s">
        <v>528</v>
      </c>
      <c r="B56" s="324" t="s">
        <v>180</v>
      </c>
    </row>
    <row r="57" spans="1:5">
      <c r="A57" s="320" t="s">
        <v>529</v>
      </c>
      <c r="B57" s="324" t="s">
        <v>180</v>
      </c>
    </row>
    <row r="58" spans="1:5">
      <c r="A58" s="320" t="s">
        <v>530</v>
      </c>
      <c r="B58" s="324" t="s">
        <v>180</v>
      </c>
    </row>
    <row r="59" spans="1:5">
      <c r="A59" s="320" t="s">
        <v>540</v>
      </c>
      <c r="B59" s="324" t="s">
        <v>165</v>
      </c>
    </row>
    <row r="60" spans="1:5">
      <c r="A60" s="320" t="s">
        <v>542</v>
      </c>
      <c r="B60" s="324" t="s">
        <v>180</v>
      </c>
    </row>
    <row r="61" spans="1:5">
      <c r="A61" s="320" t="s">
        <v>547</v>
      </c>
      <c r="B61" s="324" t="s">
        <v>474</v>
      </c>
    </row>
    <row r="62" spans="1:5">
      <c r="A62" s="320" t="s">
        <v>552</v>
      </c>
      <c r="B62" s="324" t="s">
        <v>474</v>
      </c>
    </row>
    <row r="63" spans="1:5">
      <c r="A63" s="320" t="s">
        <v>556</v>
      </c>
      <c r="B63" s="324" t="s">
        <v>474</v>
      </c>
    </row>
    <row r="64" spans="1:5">
      <c r="A64" s="320" t="s">
        <v>562</v>
      </c>
      <c r="B64" s="324" t="s">
        <v>474</v>
      </c>
    </row>
    <row r="65" spans="1:7">
      <c r="A65" s="320" t="s">
        <v>572</v>
      </c>
      <c r="B65" s="324" t="s">
        <v>474</v>
      </c>
    </row>
    <row r="66" spans="1:7">
      <c r="A66" s="320" t="s">
        <v>578</v>
      </c>
      <c r="B66" s="324" t="s">
        <v>156</v>
      </c>
    </row>
    <row r="67" spans="1:7">
      <c r="A67" s="320" t="s">
        <v>586</v>
      </c>
      <c r="B67" s="324" t="s">
        <v>173</v>
      </c>
      <c r="G67" s="328"/>
    </row>
    <row r="68" spans="1:7">
      <c r="A68" s="320" t="s">
        <v>671</v>
      </c>
      <c r="B68" s="324" t="s">
        <v>474</v>
      </c>
    </row>
    <row r="69" spans="1:7">
      <c r="A69" s="320" t="s">
        <v>682</v>
      </c>
      <c r="B69" s="324" t="s">
        <v>474</v>
      </c>
    </row>
    <row r="70" spans="1:7">
      <c r="A70" s="320" t="s">
        <v>696</v>
      </c>
      <c r="B70" s="324" t="s">
        <v>474</v>
      </c>
    </row>
    <row r="71" spans="1:7">
      <c r="A71" s="320" t="s">
        <v>700</v>
      </c>
      <c r="B71" s="324" t="s">
        <v>182</v>
      </c>
    </row>
    <row r="72" spans="1:7">
      <c r="A72" s="320" t="s">
        <v>716</v>
      </c>
      <c r="B72" s="324" t="s">
        <v>474</v>
      </c>
    </row>
    <row r="74" spans="1:7">
      <c r="G74" s="324"/>
    </row>
    <row r="75" spans="1:7">
      <c r="G75" s="324"/>
    </row>
    <row r="80" spans="1:7">
      <c r="G80" s="331"/>
    </row>
    <row r="84" spans="5:7">
      <c r="G84" s="328"/>
    </row>
    <row r="87" spans="5:7">
      <c r="E87" s="327"/>
    </row>
    <row r="94" spans="5:7">
      <c r="E94" s="327"/>
    </row>
    <row r="100" spans="7:7">
      <c r="G100" s="328"/>
    </row>
    <row r="118" spans="5:7">
      <c r="E118" s="327"/>
    </row>
    <row r="125" spans="5:7">
      <c r="G125" s="328"/>
    </row>
    <row r="132" spans="2:7">
      <c r="B132" s="332"/>
    </row>
    <row r="139" spans="2:7">
      <c r="G139" s="328"/>
    </row>
    <row r="141" spans="2:7">
      <c r="G141" s="328"/>
    </row>
    <row r="142" spans="2:7">
      <c r="G142" s="328"/>
    </row>
    <row r="143" spans="2:7">
      <c r="G143" s="328"/>
    </row>
    <row r="146" spans="5:7">
      <c r="G146" s="328"/>
    </row>
    <row r="147" spans="5:7">
      <c r="E147" s="327"/>
    </row>
    <row r="149" spans="5:7">
      <c r="G149" s="328"/>
    </row>
    <row r="152" spans="5:7">
      <c r="G152" s="328"/>
    </row>
    <row r="153" spans="5:7">
      <c r="G153" s="328"/>
    </row>
    <row r="157" spans="5:7">
      <c r="G157" s="328"/>
    </row>
    <row r="160" spans="5:7">
      <c r="G160" s="328"/>
    </row>
    <row r="164" spans="7:7">
      <c r="G164" s="328"/>
    </row>
    <row r="165" spans="7:7">
      <c r="G165" s="328"/>
    </row>
    <row r="166" spans="7:7">
      <c r="G166" s="328"/>
    </row>
    <row r="179" spans="7:7">
      <c r="G179" s="328"/>
    </row>
    <row r="187" spans="7:7">
      <c r="G187" s="328"/>
    </row>
    <row r="190" spans="7:7">
      <c r="G190" s="328"/>
    </row>
    <row r="191" spans="7:7">
      <c r="G191" s="328"/>
    </row>
    <row r="192" spans="7:7">
      <c r="G192" s="328"/>
    </row>
    <row r="195" spans="5:7">
      <c r="G195" s="328"/>
    </row>
    <row r="198" spans="5:7" ht="15.75">
      <c r="E198" s="333"/>
    </row>
    <row r="202" spans="5:7">
      <c r="G202" s="328"/>
    </row>
    <row r="203" spans="5:7">
      <c r="G203" s="328"/>
    </row>
    <row r="204" spans="5:7">
      <c r="G204" s="328"/>
    </row>
    <row r="205" spans="5:7">
      <c r="G205" s="328"/>
    </row>
    <row r="212" spans="7:7">
      <c r="G212" s="328"/>
    </row>
    <row r="213" spans="7:7">
      <c r="G213" s="328"/>
    </row>
    <row r="222" spans="7:7">
      <c r="G222" s="328"/>
    </row>
    <row r="223" spans="7:7">
      <c r="G223" s="328"/>
    </row>
    <row r="224" spans="7:7">
      <c r="G224" s="328"/>
    </row>
    <row r="225" spans="7:7">
      <c r="G225" s="328"/>
    </row>
    <row r="258" spans="2:2">
      <c r="B258" s="334"/>
    </row>
    <row r="301" spans="2:2">
      <c r="B301" s="335"/>
    </row>
    <row r="302" spans="2:2">
      <c r="B302" s="335"/>
    </row>
    <row r="303" spans="2:2">
      <c r="B303" s="335"/>
    </row>
    <row r="320" spans="2:2">
      <c r="B320" s="335"/>
    </row>
    <row r="321" spans="2:2">
      <c r="B321" s="335"/>
    </row>
    <row r="322" spans="2:2">
      <c r="B322" s="335"/>
    </row>
    <row r="339" spans="2:6">
      <c r="F339" s="336"/>
    </row>
    <row r="348" spans="2:6">
      <c r="B348" s="337"/>
    </row>
    <row r="382" spans="7:7">
      <c r="G382" s="328"/>
    </row>
    <row r="393" spans="7:7">
      <c r="G393" s="331"/>
    </row>
    <row r="397" spans="7:7">
      <c r="G397" s="328"/>
    </row>
    <row r="412" spans="5:5" ht="15.75">
      <c r="E412" s="338"/>
    </row>
    <row r="418" spans="7:7">
      <c r="G418" s="328"/>
    </row>
    <row r="483" spans="5:5" ht="15.75">
      <c r="E483" s="338"/>
    </row>
    <row r="496" spans="5:5">
      <c r="E496" s="327"/>
    </row>
    <row r="499" spans="7:7">
      <c r="G499" s="328"/>
    </row>
    <row r="518" spans="7:7">
      <c r="G518" s="328"/>
    </row>
    <row r="523" spans="7:7">
      <c r="G523" s="328"/>
    </row>
    <row r="532" spans="7:7">
      <c r="G532" s="328"/>
    </row>
    <row r="533" spans="7:7">
      <c r="G533" s="328"/>
    </row>
    <row r="542" spans="7:7">
      <c r="G542" s="328"/>
    </row>
    <row r="543" spans="7:7">
      <c r="G543" s="328"/>
    </row>
    <row r="545" spans="7:7">
      <c r="G545" s="328"/>
    </row>
    <row r="561" spans="7:7">
      <c r="G561" s="328"/>
    </row>
    <row r="564" spans="7:7">
      <c r="G564" s="328"/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Munka4"/>
  <dimension ref="A1:L33"/>
  <sheetViews>
    <sheetView zoomScale="130" zoomScaleNormal="130" workbookViewId="0">
      <selection activeCell="F26" sqref="F26"/>
    </sheetView>
  </sheetViews>
  <sheetFormatPr defaultColWidth="9.140625" defaultRowHeight="12.75"/>
  <cols>
    <col min="1" max="2" width="16.7109375" style="106" customWidth="1"/>
    <col min="3" max="4" width="5.140625" style="106" customWidth="1"/>
    <col min="5" max="5" width="6.7109375" style="106" customWidth="1"/>
    <col min="6" max="6" width="12.140625" style="106" customWidth="1"/>
    <col min="7" max="7" width="6.28515625" style="106" customWidth="1"/>
    <col min="8" max="9" width="5.85546875" style="106" customWidth="1"/>
    <col min="10" max="10" width="6.140625" style="106" customWidth="1"/>
    <col min="11" max="11" width="12.28515625" style="106" customWidth="1"/>
    <col min="12" max="12" width="5.85546875" style="106" customWidth="1"/>
    <col min="13" max="16384" width="9.140625" style="106"/>
  </cols>
  <sheetData>
    <row r="1" spans="1:12" ht="21.75" customHeight="1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201" t="s">
        <v>196</v>
      </c>
      <c r="L1" s="123"/>
    </row>
    <row r="2" spans="1:12" ht="15.75" customHeight="1">
      <c r="A2" s="464" t="s">
        <v>366</v>
      </c>
      <c r="B2" s="465"/>
      <c r="C2" s="465"/>
      <c r="D2" s="465"/>
      <c r="E2" s="175"/>
      <c r="F2" s="456" t="s">
        <v>322</v>
      </c>
      <c r="G2" s="457"/>
      <c r="H2" s="457"/>
      <c r="I2" s="457"/>
      <c r="J2" s="457"/>
      <c r="K2" s="458"/>
      <c r="L2" s="112"/>
    </row>
    <row r="3" spans="1:12" ht="15.75" customHeight="1">
      <c r="A3" s="466"/>
      <c r="B3" s="467"/>
      <c r="C3" s="467"/>
      <c r="D3" s="467"/>
      <c r="E3" s="176"/>
      <c r="F3" s="459" t="s">
        <v>266</v>
      </c>
      <c r="G3" s="457"/>
      <c r="H3" s="457"/>
      <c r="I3" s="457"/>
      <c r="J3" s="457"/>
      <c r="K3" s="458"/>
      <c r="L3" s="112"/>
    </row>
    <row r="4" spans="1:12" ht="51.95" customHeight="1">
      <c r="A4" s="468"/>
      <c r="B4" s="469"/>
      <c r="C4" s="469"/>
      <c r="D4" s="469"/>
      <c r="E4" s="177"/>
      <c r="F4" s="460" t="s">
        <v>348</v>
      </c>
      <c r="G4" s="461"/>
      <c r="H4" s="461"/>
      <c r="I4" s="462" t="s">
        <v>347</v>
      </c>
      <c r="J4" s="461"/>
      <c r="K4" s="463"/>
      <c r="L4" s="111"/>
    </row>
    <row r="5" spans="1:12" ht="15" customHeight="1">
      <c r="A5" s="440" t="s">
        <v>327</v>
      </c>
      <c r="B5" s="441"/>
      <c r="C5" s="441"/>
      <c r="D5" s="441"/>
      <c r="E5" s="442"/>
      <c r="F5" s="417" t="s">
        <v>323</v>
      </c>
      <c r="G5" s="418"/>
      <c r="H5" s="418"/>
      <c r="I5" s="418"/>
      <c r="J5" s="418"/>
      <c r="K5" s="419"/>
      <c r="L5" s="111"/>
    </row>
    <row r="6" spans="1:12" ht="18" customHeight="1">
      <c r="A6" s="414"/>
      <c r="B6" s="415"/>
      <c r="C6" s="415"/>
      <c r="D6" s="415"/>
      <c r="E6" s="416"/>
      <c r="F6" s="420"/>
      <c r="G6" s="421"/>
      <c r="H6" s="421"/>
      <c r="I6" s="421"/>
      <c r="J6" s="421"/>
      <c r="K6" s="422"/>
      <c r="L6" s="111"/>
    </row>
    <row r="7" spans="1:12" ht="17.25" customHeight="1">
      <c r="A7" s="446"/>
      <c r="B7" s="447"/>
      <c r="C7" s="447"/>
      <c r="D7" s="447"/>
      <c r="E7" s="448"/>
      <c r="F7" s="423"/>
      <c r="G7" s="424"/>
      <c r="H7" s="424"/>
      <c r="I7" s="424"/>
      <c r="J7" s="424"/>
      <c r="K7" s="425"/>
      <c r="L7" s="111"/>
    </row>
    <row r="8" spans="1:12" ht="23.25" customHeight="1">
      <c r="A8" s="440" t="s">
        <v>349</v>
      </c>
      <c r="B8" s="441"/>
      <c r="C8" s="441"/>
      <c r="D8" s="441"/>
      <c r="E8" s="442"/>
      <c r="F8" s="417" t="s">
        <v>324</v>
      </c>
      <c r="G8" s="418"/>
      <c r="H8" s="418"/>
      <c r="I8" s="418"/>
      <c r="J8" s="418"/>
      <c r="K8" s="419"/>
      <c r="L8" s="111"/>
    </row>
    <row r="9" spans="1:12" s="122" customFormat="1" ht="17.25" customHeight="1">
      <c r="A9" s="121" t="s">
        <v>265</v>
      </c>
      <c r="B9" s="120" t="s">
        <v>66</v>
      </c>
      <c r="C9" s="120"/>
      <c r="D9" s="112"/>
      <c r="E9" s="117"/>
      <c r="F9" s="420"/>
      <c r="G9" s="421"/>
      <c r="H9" s="421"/>
      <c r="I9" s="421"/>
      <c r="J9" s="421"/>
      <c r="K9" s="422"/>
      <c r="L9" s="112"/>
    </row>
    <row r="10" spans="1:12" s="122" customFormat="1" ht="17.25" customHeight="1">
      <c r="A10" s="119" t="s">
        <v>264</v>
      </c>
      <c r="B10" s="118" t="s">
        <v>357</v>
      </c>
      <c r="C10" s="118"/>
      <c r="D10" s="116"/>
      <c r="E10" s="115"/>
      <c r="F10" s="420"/>
      <c r="G10" s="421"/>
      <c r="H10" s="421"/>
      <c r="I10" s="421"/>
      <c r="J10" s="421"/>
      <c r="K10" s="422"/>
      <c r="L10" s="112"/>
    </row>
    <row r="11" spans="1:12" ht="24" customHeight="1">
      <c r="A11" s="443" t="s">
        <v>350</v>
      </c>
      <c r="B11" s="444"/>
      <c r="C11" s="444"/>
      <c r="D11" s="444"/>
      <c r="E11" s="445"/>
      <c r="F11" s="423"/>
      <c r="G11" s="424"/>
      <c r="H11" s="424"/>
      <c r="I11" s="424"/>
      <c r="J11" s="424"/>
      <c r="K11" s="425"/>
      <c r="L11" s="112"/>
    </row>
    <row r="12" spans="1:12" ht="18" customHeight="1">
      <c r="A12" s="121" t="s">
        <v>265</v>
      </c>
      <c r="B12" s="120"/>
      <c r="C12" s="120"/>
      <c r="D12" s="112"/>
      <c r="E12" s="117"/>
      <c r="F12" s="434" t="s">
        <v>325</v>
      </c>
      <c r="G12" s="435"/>
      <c r="H12" s="435"/>
      <c r="I12" s="435"/>
      <c r="J12" s="435"/>
      <c r="K12" s="436"/>
      <c r="L12" s="112"/>
    </row>
    <row r="13" spans="1:12" ht="18" customHeight="1">
      <c r="A13" s="119" t="s">
        <v>264</v>
      </c>
      <c r="B13" s="118"/>
      <c r="C13" s="118"/>
      <c r="D13" s="116"/>
      <c r="E13" s="115"/>
      <c r="F13" s="437"/>
      <c r="G13" s="438"/>
      <c r="H13" s="438"/>
      <c r="I13" s="438"/>
      <c r="J13" s="438"/>
      <c r="K13" s="439"/>
      <c r="L13" s="112"/>
    </row>
    <row r="14" spans="1:12" ht="27.75" customHeight="1">
      <c r="A14" s="187" t="s">
        <v>326</v>
      </c>
      <c r="B14" s="202"/>
      <c r="C14" s="188"/>
      <c r="D14" s="188"/>
      <c r="E14" s="189"/>
      <c r="F14" s="437"/>
      <c r="G14" s="438"/>
      <c r="H14" s="438"/>
      <c r="I14" s="438"/>
      <c r="J14" s="438"/>
      <c r="K14" s="439"/>
      <c r="L14" s="111"/>
    </row>
    <row r="15" spans="1:12" ht="31.5" customHeight="1">
      <c r="A15" s="182" t="s">
        <v>343</v>
      </c>
      <c r="B15" s="183" t="s">
        <v>351</v>
      </c>
      <c r="C15" s="512" t="s">
        <v>352</v>
      </c>
      <c r="D15" s="513"/>
      <c r="E15" s="514"/>
      <c r="F15" s="182" t="s">
        <v>342</v>
      </c>
      <c r="G15" s="432" t="s">
        <v>344</v>
      </c>
      <c r="H15" s="433"/>
      <c r="I15" s="432" t="s">
        <v>346</v>
      </c>
      <c r="J15" s="433"/>
      <c r="K15" s="184" t="s">
        <v>345</v>
      </c>
      <c r="L15" s="112"/>
    </row>
    <row r="16" spans="1:12" ht="24" customHeight="1">
      <c r="A16" s="194"/>
      <c r="B16" s="195"/>
      <c r="C16" s="495"/>
      <c r="D16" s="495"/>
      <c r="E16" s="196"/>
      <c r="F16" s="197"/>
      <c r="G16" s="515"/>
      <c r="H16" s="516"/>
      <c r="I16" s="491"/>
      <c r="J16" s="492"/>
      <c r="K16" s="192"/>
      <c r="L16" s="112"/>
    </row>
    <row r="17" spans="1:12" ht="24" customHeight="1">
      <c r="A17" s="190"/>
      <c r="B17" s="198"/>
      <c r="C17" s="496"/>
      <c r="D17" s="496"/>
      <c r="E17" s="199"/>
      <c r="F17" s="191"/>
      <c r="G17" s="515"/>
      <c r="H17" s="516"/>
      <c r="I17" s="493"/>
      <c r="J17" s="494"/>
      <c r="K17" s="192"/>
      <c r="L17" s="112"/>
    </row>
    <row r="18" spans="1:12" ht="24" customHeight="1">
      <c r="A18" s="200"/>
      <c r="B18" s="180"/>
      <c r="C18" s="511"/>
      <c r="D18" s="511"/>
      <c r="E18" s="179"/>
      <c r="F18" s="181"/>
      <c r="G18" s="498"/>
      <c r="H18" s="499"/>
      <c r="I18" s="502"/>
      <c r="J18" s="503"/>
      <c r="K18" s="193"/>
      <c r="L18" s="111"/>
    </row>
    <row r="19" spans="1:12" ht="26.25" customHeight="1">
      <c r="A19" s="504" t="s">
        <v>328</v>
      </c>
      <c r="B19" s="505"/>
      <c r="C19" s="505"/>
      <c r="D19" s="505"/>
      <c r="E19" s="506"/>
      <c r="F19" s="178" t="s">
        <v>329</v>
      </c>
      <c r="G19" s="507" t="s">
        <v>330</v>
      </c>
      <c r="H19" s="508"/>
      <c r="I19" s="509" t="s">
        <v>331</v>
      </c>
      <c r="J19" s="510"/>
      <c r="K19" s="169" t="s">
        <v>332</v>
      </c>
      <c r="L19" s="112"/>
    </row>
    <row r="20" spans="1:12" ht="18">
      <c r="A20" s="504"/>
      <c r="B20" s="505"/>
      <c r="C20" s="505"/>
      <c r="D20" s="505"/>
      <c r="E20" s="506"/>
      <c r="F20" s="170" t="s">
        <v>333</v>
      </c>
      <c r="G20" s="500"/>
      <c r="H20" s="501"/>
      <c r="I20" s="449"/>
      <c r="J20" s="450"/>
      <c r="K20" s="114"/>
      <c r="L20" s="112"/>
    </row>
    <row r="21" spans="1:12" ht="21.75" customHeight="1">
      <c r="A21" s="522"/>
      <c r="B21" s="523"/>
      <c r="C21" s="523"/>
      <c r="D21" s="523"/>
      <c r="E21" s="524"/>
      <c r="F21" s="171" t="s">
        <v>334</v>
      </c>
      <c r="G21" s="525"/>
      <c r="H21" s="526"/>
      <c r="I21" s="451"/>
      <c r="J21" s="452"/>
      <c r="K21" s="517"/>
      <c r="L21" s="112"/>
    </row>
    <row r="22" spans="1:12" ht="32.1" customHeight="1">
      <c r="A22" s="519"/>
      <c r="B22" s="520"/>
      <c r="C22" s="520"/>
      <c r="D22" s="520"/>
      <c r="E22" s="521"/>
      <c r="F22" s="172" t="s">
        <v>335</v>
      </c>
      <c r="G22" s="527"/>
      <c r="H22" s="528"/>
      <c r="I22" s="453"/>
      <c r="J22" s="454"/>
      <c r="K22" s="518"/>
      <c r="L22" s="111"/>
    </row>
    <row r="23" spans="1:12" ht="18" customHeight="1">
      <c r="A23" s="497"/>
      <c r="B23" s="498"/>
      <c r="C23" s="498"/>
      <c r="D23" s="498"/>
      <c r="E23" s="499"/>
      <c r="F23" s="170" t="s">
        <v>336</v>
      </c>
      <c r="G23" s="500"/>
      <c r="H23" s="501"/>
      <c r="I23" s="449"/>
      <c r="J23" s="450"/>
      <c r="K23" s="114"/>
      <c r="L23" s="112"/>
    </row>
    <row r="24" spans="1:12" ht="24.75" customHeight="1">
      <c r="A24" s="455" t="s">
        <v>337</v>
      </c>
      <c r="B24" s="438"/>
      <c r="C24" s="111"/>
      <c r="D24" s="112"/>
      <c r="E24" s="112"/>
      <c r="F24" s="112"/>
      <c r="G24" s="112"/>
      <c r="H24" s="112"/>
      <c r="I24" s="112"/>
      <c r="J24" s="112"/>
      <c r="K24" s="113"/>
      <c r="L24" s="112"/>
    </row>
    <row r="25" spans="1:12" ht="38.1" customHeight="1">
      <c r="A25" s="484" t="s">
        <v>338</v>
      </c>
      <c r="B25" s="485"/>
      <c r="C25" s="485"/>
      <c r="D25" s="485"/>
      <c r="E25" s="486"/>
      <c r="F25" s="487" t="s">
        <v>339</v>
      </c>
      <c r="G25" s="485"/>
      <c r="H25" s="485"/>
      <c r="I25" s="485"/>
      <c r="J25" s="485"/>
      <c r="K25" s="488"/>
      <c r="L25" s="111"/>
    </row>
    <row r="26" spans="1:12" ht="27" customHeight="1">
      <c r="A26" s="164" t="s">
        <v>316</v>
      </c>
      <c r="B26" s="165" t="s">
        <v>66</v>
      </c>
      <c r="C26" s="286"/>
      <c r="D26" s="166" t="s">
        <v>317</v>
      </c>
      <c r="E26" s="165"/>
      <c r="F26" s="165"/>
      <c r="G26" s="167"/>
      <c r="H26" s="434" t="s">
        <v>319</v>
      </c>
      <c r="I26" s="435"/>
      <c r="J26" s="435"/>
      <c r="K26" s="436"/>
      <c r="L26" s="112"/>
    </row>
    <row r="27" spans="1:12" ht="54" customHeight="1">
      <c r="A27" s="428" t="s">
        <v>340</v>
      </c>
      <c r="B27" s="428"/>
      <c r="C27" s="428"/>
      <c r="D27" s="430" t="s">
        <v>320</v>
      </c>
      <c r="E27" s="430"/>
      <c r="F27" s="430"/>
      <c r="G27" s="430"/>
      <c r="H27" s="489"/>
      <c r="I27" s="489"/>
      <c r="J27" s="489"/>
      <c r="K27" s="490"/>
      <c r="L27" s="111"/>
    </row>
    <row r="28" spans="1:12" ht="31.5" customHeight="1">
      <c r="A28" s="429"/>
      <c r="B28" s="429"/>
      <c r="C28" s="429"/>
      <c r="D28" s="431"/>
      <c r="E28" s="431"/>
      <c r="F28" s="431"/>
      <c r="G28" s="431"/>
      <c r="H28" s="426" t="s">
        <v>318</v>
      </c>
      <c r="I28" s="426"/>
      <c r="J28" s="426"/>
      <c r="K28" s="427"/>
      <c r="L28" s="111"/>
    </row>
    <row r="29" spans="1:12" ht="27" customHeight="1">
      <c r="A29" s="168" t="s">
        <v>321</v>
      </c>
      <c r="B29" s="482" t="s">
        <v>262</v>
      </c>
      <c r="C29" s="482"/>
      <c r="D29" s="482"/>
      <c r="E29" s="483"/>
      <c r="F29" s="173"/>
      <c r="G29" s="173"/>
      <c r="H29" s="173"/>
      <c r="I29" s="173"/>
      <c r="J29" s="173"/>
      <c r="K29" s="174"/>
      <c r="L29" s="110"/>
    </row>
    <row r="30" spans="1:12" ht="15.75" customHeight="1">
      <c r="A30" s="470"/>
      <c r="B30" s="471"/>
      <c r="C30" s="471"/>
      <c r="D30" s="471"/>
      <c r="E30" s="472"/>
      <c r="K30" s="109"/>
    </row>
    <row r="31" spans="1:12" ht="15.75" customHeight="1">
      <c r="A31" s="473"/>
      <c r="B31" s="474"/>
      <c r="C31" s="474"/>
      <c r="D31" s="474"/>
      <c r="E31" s="475"/>
      <c r="K31" s="109"/>
    </row>
    <row r="32" spans="1:12" ht="15.75" customHeight="1">
      <c r="A32" s="476"/>
      <c r="B32" s="477"/>
      <c r="C32" s="477"/>
      <c r="D32" s="477"/>
      <c r="E32" s="478"/>
      <c r="K32" s="109"/>
    </row>
    <row r="33" spans="1:11" ht="15.75" customHeight="1">
      <c r="A33" s="479"/>
      <c r="B33" s="480"/>
      <c r="C33" s="480"/>
      <c r="D33" s="480"/>
      <c r="E33" s="481"/>
      <c r="F33" s="108"/>
      <c r="G33" s="108"/>
      <c r="H33" s="108"/>
      <c r="I33" s="108"/>
      <c r="J33" s="108"/>
      <c r="K33" s="107"/>
    </row>
  </sheetData>
  <mergeCells count="48">
    <mergeCell ref="C15:E15"/>
    <mergeCell ref="G17:H17"/>
    <mergeCell ref="G16:H16"/>
    <mergeCell ref="K21:K22"/>
    <mergeCell ref="A22:E22"/>
    <mergeCell ref="A21:E21"/>
    <mergeCell ref="G21:H22"/>
    <mergeCell ref="I23:J23"/>
    <mergeCell ref="I16:J16"/>
    <mergeCell ref="I17:J17"/>
    <mergeCell ref="C16:D16"/>
    <mergeCell ref="C17:D17"/>
    <mergeCell ref="A23:E23"/>
    <mergeCell ref="G23:H23"/>
    <mergeCell ref="G18:H18"/>
    <mergeCell ref="I18:J18"/>
    <mergeCell ref="A19:E20"/>
    <mergeCell ref="G19:H19"/>
    <mergeCell ref="I19:J19"/>
    <mergeCell ref="G20:H20"/>
    <mergeCell ref="C18:D18"/>
    <mergeCell ref="A30:E31"/>
    <mergeCell ref="A32:E33"/>
    <mergeCell ref="B29:E29"/>
    <mergeCell ref="A25:E25"/>
    <mergeCell ref="F25:K25"/>
    <mergeCell ref="H26:K27"/>
    <mergeCell ref="F2:K2"/>
    <mergeCell ref="F3:K3"/>
    <mergeCell ref="F4:H4"/>
    <mergeCell ref="I4:K4"/>
    <mergeCell ref="A2:D4"/>
    <mergeCell ref="A6:E6"/>
    <mergeCell ref="F5:K7"/>
    <mergeCell ref="H28:K28"/>
    <mergeCell ref="A27:C28"/>
    <mergeCell ref="D27:G28"/>
    <mergeCell ref="I15:J15"/>
    <mergeCell ref="F8:K11"/>
    <mergeCell ref="F12:K14"/>
    <mergeCell ref="A5:E5"/>
    <mergeCell ref="A8:E8"/>
    <mergeCell ref="A11:E11"/>
    <mergeCell ref="G15:H15"/>
    <mergeCell ref="A7:E7"/>
    <mergeCell ref="I20:J20"/>
    <mergeCell ref="I21:J22"/>
    <mergeCell ref="A24:B24"/>
  </mergeCells>
  <pageMargins left="3.937007874015748E-2" right="3.937007874015748E-2" top="0.55118110236220474" bottom="0.55118110236220474" header="0.31496062992125984" footer="0.31496062992125984"/>
  <pageSetup paperSize="9" orientation="portrait" r:id="rId1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Munka6"/>
  <dimension ref="A1:S12"/>
  <sheetViews>
    <sheetView workbookViewId="0">
      <selection activeCell="M20" sqref="M20"/>
    </sheetView>
  </sheetViews>
  <sheetFormatPr defaultColWidth="8.85546875" defaultRowHeight="15"/>
  <cols>
    <col min="5" max="5" width="14.140625" bestFit="1" customWidth="1"/>
    <col min="13" max="13" width="14.140625" bestFit="1" customWidth="1"/>
  </cols>
  <sheetData>
    <row r="1" spans="1:19" ht="30.75">
      <c r="A1" s="125" t="s">
        <v>267</v>
      </c>
      <c r="J1" s="125" t="s">
        <v>271</v>
      </c>
    </row>
    <row r="2" spans="1:19" ht="30.75">
      <c r="A2" s="125"/>
      <c r="J2" s="125" t="s">
        <v>268</v>
      </c>
    </row>
    <row r="3" spans="1:19" ht="30.75">
      <c r="A3" s="125"/>
      <c r="J3" s="287" t="s">
        <v>407</v>
      </c>
    </row>
    <row r="4" spans="1:19" ht="30.75">
      <c r="A4" s="125"/>
      <c r="J4" s="125" t="s">
        <v>269</v>
      </c>
    </row>
    <row r="5" spans="1:19" ht="30.75">
      <c r="A5" s="529"/>
      <c r="B5" s="529"/>
      <c r="C5" s="529"/>
      <c r="J5" s="125" t="s">
        <v>270</v>
      </c>
    </row>
    <row r="6" spans="1:19" ht="88.5">
      <c r="A6" s="531" t="s">
        <v>274</v>
      </c>
      <c r="B6" s="531"/>
      <c r="C6" s="531"/>
      <c r="D6" s="531"/>
      <c r="E6" s="531"/>
      <c r="F6" s="530"/>
      <c r="G6" s="530"/>
      <c r="H6" s="530"/>
      <c r="I6" s="530"/>
      <c r="J6" s="530"/>
      <c r="K6" s="530"/>
      <c r="L6" s="530"/>
      <c r="M6" s="530"/>
      <c r="N6" s="129"/>
    </row>
    <row r="7" spans="1:19" ht="45.75">
      <c r="A7" s="529"/>
      <c r="B7" s="529"/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  <c r="S7" s="288"/>
    </row>
    <row r="8" spans="1:19" ht="30.75">
      <c r="A8" s="125"/>
      <c r="B8" s="125"/>
      <c r="C8" s="125"/>
      <c r="E8" s="125"/>
      <c r="F8" s="125" t="s">
        <v>276</v>
      </c>
      <c r="G8" s="125"/>
      <c r="H8" s="125"/>
      <c r="I8" s="125" t="s">
        <v>275</v>
      </c>
      <c r="K8" s="125"/>
      <c r="L8" s="125"/>
      <c r="M8" s="125"/>
      <c r="N8" s="125"/>
    </row>
    <row r="9" spans="1:19" ht="30.75">
      <c r="A9" s="126"/>
    </row>
    <row r="10" spans="1:19" ht="30.75">
      <c r="A10" s="532">
        <f>H8*E8</f>
        <v>0</v>
      </c>
      <c r="B10" s="532"/>
      <c r="C10" s="532"/>
      <c r="D10" s="532"/>
      <c r="E10" s="532"/>
      <c r="F10" s="532"/>
      <c r="G10" s="532"/>
      <c r="H10" s="533" t="s">
        <v>359</v>
      </c>
      <c r="I10" s="533"/>
      <c r="J10" s="533"/>
      <c r="K10" s="533"/>
      <c r="L10" s="533"/>
      <c r="M10" s="533"/>
      <c r="N10" s="125"/>
    </row>
    <row r="11" spans="1:19" ht="30.75">
      <c r="A11" s="125"/>
    </row>
    <row r="12" spans="1:19" ht="30.75">
      <c r="A12" s="127" t="s">
        <v>272</v>
      </c>
      <c r="E12" s="128"/>
      <c r="K12" s="126" t="s">
        <v>273</v>
      </c>
      <c r="M12" s="128">
        <f>E12+30</f>
        <v>30</v>
      </c>
    </row>
  </sheetData>
  <mergeCells count="6">
    <mergeCell ref="A5:C5"/>
    <mergeCell ref="A7:N7"/>
    <mergeCell ref="F6:M6"/>
    <mergeCell ref="A6:E6"/>
    <mergeCell ref="A10:G10"/>
    <mergeCell ref="H10:M10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Munka7"/>
  <dimension ref="A1"/>
  <sheetViews>
    <sheetView workbookViewId="0">
      <selection activeCell="M48" sqref="M48"/>
    </sheetView>
  </sheetViews>
  <sheetFormatPr defaultColWidth="8.85546875" defaultRowHeight="15"/>
  <sheetData/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Munka8"/>
  <dimension ref="A1:O45"/>
  <sheetViews>
    <sheetView tabSelected="1" view="pageBreakPreview" zoomScale="85" zoomScaleNormal="115" zoomScaleSheetLayoutView="85" zoomScalePageLayoutView="115" workbookViewId="0">
      <selection activeCell="K30" sqref="K30"/>
    </sheetView>
  </sheetViews>
  <sheetFormatPr defaultColWidth="9.140625" defaultRowHeight="15"/>
  <cols>
    <col min="1" max="1" width="7.42578125" style="40" customWidth="1"/>
    <col min="2" max="2" width="15.28515625" style="40" customWidth="1"/>
    <col min="3" max="3" width="21.42578125" style="40" customWidth="1"/>
    <col min="4" max="4" width="13.42578125" style="40" customWidth="1"/>
    <col min="5" max="5" width="12.42578125" style="40" customWidth="1"/>
    <col min="6" max="6" width="13.7109375" style="40" customWidth="1"/>
    <col min="7" max="8" width="17.28515625" style="40" customWidth="1"/>
    <col min="9" max="9" width="8.42578125" style="40" customWidth="1"/>
    <col min="10" max="10" width="1.7109375" style="40" customWidth="1"/>
    <col min="11" max="13" width="9.140625" style="40"/>
    <col min="14" max="14" width="14.28515625" style="40" bestFit="1" customWidth="1"/>
    <col min="15" max="16384" width="9.140625" style="40"/>
  </cols>
  <sheetData>
    <row r="1" spans="1:15" ht="14.85" customHeight="1">
      <c r="F1" s="101"/>
      <c r="G1" s="100"/>
      <c r="H1" s="100"/>
      <c r="I1" s="100"/>
      <c r="J1" s="100"/>
    </row>
    <row r="2" spans="1:15" ht="14.85" customHeight="1">
      <c r="F2" s="100"/>
      <c r="G2" s="100"/>
      <c r="H2" s="100"/>
      <c r="I2" s="100"/>
      <c r="J2" s="100"/>
    </row>
    <row r="3" spans="1:15" ht="14.85" customHeight="1">
      <c r="F3" s="100"/>
      <c r="G3" s="100"/>
      <c r="H3" s="100"/>
      <c r="I3" s="100"/>
      <c r="J3" s="100"/>
    </row>
    <row r="4" spans="1:15" ht="14.85" customHeight="1">
      <c r="F4" s="100"/>
      <c r="G4" s="100"/>
      <c r="H4" s="100"/>
      <c r="I4" s="100"/>
      <c r="J4" s="100"/>
    </row>
    <row r="5" spans="1:15" ht="14.85" customHeight="1">
      <c r="F5" s="100"/>
      <c r="G5" s="100"/>
      <c r="H5" s="100"/>
      <c r="I5" s="100"/>
      <c r="J5" s="100"/>
    </row>
    <row r="6" spans="1:15" ht="14.85" customHeight="1">
      <c r="F6" s="100"/>
      <c r="G6" s="100"/>
      <c r="H6" s="100"/>
      <c r="I6" s="100"/>
      <c r="J6" s="100"/>
    </row>
    <row r="7" spans="1:15" ht="18" customHeight="1"/>
    <row r="8" spans="1:15" ht="18" customHeight="1" thickBot="1"/>
    <row r="9" spans="1:15" ht="18" customHeight="1">
      <c r="A9" s="99"/>
      <c r="B9" s="99"/>
      <c r="C9" s="99"/>
      <c r="D9" s="99"/>
      <c r="E9" s="99"/>
      <c r="F9" s="99"/>
      <c r="G9" s="99"/>
      <c r="H9" s="99"/>
    </row>
    <row r="10" spans="1:15" ht="33.75">
      <c r="A10" s="542" t="s">
        <v>234</v>
      </c>
      <c r="B10" s="542"/>
      <c r="C10" s="542"/>
      <c r="D10" s="542"/>
      <c r="E10" s="542"/>
      <c r="F10" s="542"/>
      <c r="G10" s="542"/>
      <c r="H10" s="542"/>
      <c r="I10" s="41"/>
      <c r="J10" s="41"/>
    </row>
    <row r="11" spans="1:15" ht="19.5">
      <c r="A11" s="98"/>
      <c r="B11" s="98"/>
      <c r="C11" s="98"/>
      <c r="D11" s="98"/>
      <c r="E11" s="98"/>
      <c r="F11" s="98"/>
      <c r="G11" s="41"/>
      <c r="H11" s="41"/>
      <c r="I11" s="41"/>
      <c r="J11" s="41"/>
    </row>
    <row r="12" spans="1:15" ht="34.35" customHeight="1">
      <c r="A12" s="97" t="s">
        <v>233</v>
      </c>
      <c r="B12" s="97"/>
      <c r="C12" s="96"/>
      <c r="D12" s="96"/>
      <c r="E12" s="96"/>
      <c r="F12" s="96"/>
      <c r="G12" s="159" t="s">
        <v>691</v>
      </c>
      <c r="H12" s="160"/>
      <c r="I12" s="93"/>
      <c r="J12" s="41"/>
    </row>
    <row r="13" spans="1:15" ht="15.75" thickBot="1">
      <c r="J13" s="41"/>
      <c r="O13" s="89"/>
    </row>
    <row r="14" spans="1:15" ht="15.75">
      <c r="A14" s="544" t="s">
        <v>231</v>
      </c>
      <c r="B14" s="544"/>
      <c r="C14" s="90"/>
      <c r="D14" s="90"/>
      <c r="E14" s="92" t="s">
        <v>230</v>
      </c>
      <c r="F14" s="91"/>
      <c r="G14" s="90"/>
      <c r="H14" s="90"/>
      <c r="I14" s="42"/>
      <c r="J14" s="41"/>
      <c r="O14" s="89"/>
    </row>
    <row r="15" spans="1:15">
      <c r="C15" s="41"/>
      <c r="D15" s="41"/>
      <c r="E15" s="88"/>
      <c r="F15" s="41"/>
      <c r="G15" s="41"/>
      <c r="H15" s="41"/>
      <c r="I15" s="41"/>
      <c r="J15" s="41"/>
    </row>
    <row r="16" spans="1:15" ht="23.25">
      <c r="A16" s="545" t="s">
        <v>229</v>
      </c>
      <c r="B16" s="545"/>
      <c r="C16" s="545"/>
      <c r="D16" s="86"/>
      <c r="E16" s="157"/>
      <c r="F16" s="87"/>
      <c r="G16" s="87"/>
      <c r="H16" s="86"/>
      <c r="I16" s="86"/>
      <c r="J16" s="86"/>
      <c r="N16" s="85"/>
    </row>
    <row r="17" spans="1:14" ht="15.75">
      <c r="A17" s="546" t="s">
        <v>228</v>
      </c>
      <c r="B17" s="546"/>
      <c r="C17" s="546"/>
      <c r="D17" s="81"/>
      <c r="E17" s="83"/>
      <c r="F17" s="82"/>
      <c r="G17" s="82"/>
      <c r="H17" s="82"/>
      <c r="I17" s="41"/>
      <c r="J17" s="41"/>
    </row>
    <row r="18" spans="1:14" ht="15.75">
      <c r="A18" s="80"/>
      <c r="B18" s="80"/>
      <c r="C18" s="84"/>
      <c r="D18" s="82"/>
      <c r="E18" s="83"/>
      <c r="F18" s="82"/>
      <c r="G18" s="82"/>
      <c r="H18" s="80"/>
      <c r="N18" s="69"/>
    </row>
    <row r="19" spans="1:14" ht="15.75">
      <c r="A19" s="543" t="s">
        <v>227</v>
      </c>
      <c r="B19" s="543"/>
      <c r="C19" s="543"/>
      <c r="D19" s="81"/>
      <c r="E19" s="158"/>
      <c r="F19" s="81"/>
      <c r="G19" s="81"/>
      <c r="H19" s="80"/>
      <c r="N19" s="69"/>
    </row>
    <row r="20" spans="1:14" ht="16.5" thickBot="1">
      <c r="A20" s="78"/>
      <c r="B20" s="78"/>
      <c r="C20" s="79"/>
      <c r="D20" s="78"/>
      <c r="E20" s="77"/>
      <c r="F20" s="76"/>
      <c r="G20" s="76"/>
      <c r="H20" s="75"/>
      <c r="N20" s="69"/>
    </row>
    <row r="21" spans="1:14" ht="15.75">
      <c r="D21" s="74"/>
      <c r="E21" s="74"/>
      <c r="F21" s="41"/>
      <c r="G21" s="41"/>
      <c r="N21" s="69"/>
    </row>
    <row r="22" spans="1:14" ht="31.5" customHeight="1">
      <c r="A22" s="537" t="s">
        <v>226</v>
      </c>
      <c r="B22" s="538"/>
      <c r="C22" s="71"/>
      <c r="D22" s="539" t="s">
        <v>225</v>
      </c>
      <c r="E22" s="539"/>
      <c r="F22" s="72"/>
      <c r="G22" s="71" t="s">
        <v>224</v>
      </c>
      <c r="H22" s="70" t="s">
        <v>223</v>
      </c>
      <c r="N22" s="69"/>
    </row>
    <row r="23" spans="1:14" ht="29.1" customHeight="1">
      <c r="A23" s="540"/>
      <c r="B23" s="540"/>
      <c r="C23" s="49"/>
      <c r="D23" s="540"/>
      <c r="E23" s="540"/>
      <c r="F23" s="68"/>
      <c r="G23" s="67" t="s">
        <v>222</v>
      </c>
      <c r="H23" s="162"/>
      <c r="J23" s="41"/>
    </row>
    <row r="24" spans="1:14" ht="31.35" customHeight="1">
      <c r="A24" s="541"/>
      <c r="B24" s="541"/>
      <c r="J24" s="41"/>
    </row>
    <row r="25" spans="1:14" ht="31.5">
      <c r="A25" s="65" t="s">
        <v>221</v>
      </c>
      <c r="B25" s="539" t="s">
        <v>220</v>
      </c>
      <c r="C25" s="539"/>
      <c r="D25" s="64" t="s">
        <v>219</v>
      </c>
      <c r="E25" s="64" t="s">
        <v>218</v>
      </c>
      <c r="F25" s="64" t="s">
        <v>217</v>
      </c>
      <c r="G25" s="63" t="s">
        <v>216</v>
      </c>
      <c r="H25" s="62" t="s">
        <v>215</v>
      </c>
      <c r="J25" s="41"/>
    </row>
    <row r="26" spans="1:14" ht="21.6" customHeight="1">
      <c r="A26" s="61"/>
      <c r="B26" s="161"/>
      <c r="C26" s="161"/>
      <c r="D26" s="60"/>
      <c r="E26" s="60"/>
      <c r="F26" s="60"/>
      <c r="G26" s="60"/>
      <c r="H26" s="59"/>
      <c r="I26" s="41"/>
      <c r="J26" s="41"/>
    </row>
    <row r="27" spans="1:14" ht="21.6" customHeight="1">
      <c r="A27" s="61"/>
      <c r="B27" s="161"/>
      <c r="C27" s="161"/>
      <c r="D27" s="60"/>
      <c r="E27" s="60"/>
      <c r="F27" s="60"/>
      <c r="G27" s="60"/>
      <c r="H27" s="59"/>
      <c r="I27" s="41"/>
      <c r="J27" s="41"/>
    </row>
    <row r="28" spans="1:14" ht="21.6" customHeight="1">
      <c r="A28" s="61"/>
      <c r="B28" s="61"/>
      <c r="C28" s="61"/>
      <c r="D28" s="60"/>
      <c r="E28" s="60"/>
      <c r="F28" s="60"/>
      <c r="G28" s="60"/>
      <c r="H28" s="59"/>
      <c r="I28" s="41"/>
      <c r="J28" s="41"/>
    </row>
    <row r="29" spans="1:14" ht="21.6" customHeight="1">
      <c r="A29" s="61"/>
      <c r="B29" s="61"/>
      <c r="C29" s="61"/>
      <c r="D29" s="60"/>
      <c r="E29" s="60"/>
      <c r="F29" s="60"/>
      <c r="G29" s="60"/>
      <c r="H29" s="59"/>
      <c r="I29" s="41"/>
      <c r="J29" s="41"/>
    </row>
    <row r="30" spans="1:14" ht="21.6" customHeight="1">
      <c r="A30" s="61"/>
      <c r="B30" s="61"/>
      <c r="C30" s="61"/>
      <c r="D30" s="60"/>
      <c r="E30" s="60"/>
      <c r="F30" s="60"/>
      <c r="G30" s="60"/>
      <c r="H30" s="59"/>
      <c r="I30" s="41"/>
      <c r="J30" s="41"/>
    </row>
    <row r="31" spans="1:14" ht="21.6" customHeight="1">
      <c r="A31" s="61"/>
      <c r="B31" s="61"/>
      <c r="C31" s="61"/>
      <c r="D31" s="60"/>
      <c r="E31" s="60"/>
      <c r="F31" s="60"/>
      <c r="G31" s="60"/>
      <c r="H31" s="59"/>
      <c r="I31" s="41"/>
      <c r="J31" s="41"/>
    </row>
    <row r="32" spans="1:14" ht="21.6" customHeight="1" thickBot="1">
      <c r="A32" s="61"/>
      <c r="B32" s="161"/>
      <c r="C32" s="161"/>
      <c r="D32" s="60"/>
      <c r="E32" s="60"/>
      <c r="F32" s="60"/>
      <c r="G32" s="60"/>
      <c r="H32" s="59"/>
      <c r="I32" s="41"/>
      <c r="J32" s="41"/>
    </row>
    <row r="33" spans="1:10" customFormat="1" ht="29.85" customHeight="1">
      <c r="A33" s="58"/>
      <c r="B33" s="58" t="s">
        <v>214</v>
      </c>
      <c r="C33" s="57"/>
      <c r="D33" s="56"/>
      <c r="E33" s="55">
        <f>SUM(E26:E32)</f>
        <v>0</v>
      </c>
      <c r="F33" s="55">
        <f>SUM(F26:F32)</f>
        <v>0</v>
      </c>
      <c r="G33" s="55">
        <f>SUM(G26:G32)</f>
        <v>0</v>
      </c>
      <c r="H33" s="55">
        <f>SUM(H26:H32)</f>
        <v>0</v>
      </c>
      <c r="I33" s="50"/>
    </row>
    <row r="34" spans="1:10" customFormat="1" ht="21" customHeight="1">
      <c r="A34" s="54"/>
      <c r="B34" s="54"/>
      <c r="C34" s="54"/>
      <c r="D34" s="53"/>
      <c r="E34" s="53"/>
      <c r="F34" s="53"/>
      <c r="G34" s="52"/>
      <c r="H34" s="51"/>
      <c r="I34" s="50"/>
    </row>
    <row r="35" spans="1:10" ht="15.75">
      <c r="A35"/>
      <c r="B35"/>
      <c r="C35"/>
      <c r="D35" s="49"/>
      <c r="E35" s="7"/>
      <c r="F35" s="7"/>
      <c r="G35" s="7"/>
      <c r="H35" s="7"/>
      <c r="I35" s="41"/>
      <c r="J35" s="41"/>
    </row>
    <row r="36" spans="1:10" ht="15.75">
      <c r="A36" s="48"/>
      <c r="B36" s="48"/>
      <c r="C36" s="48"/>
      <c r="D36" s="48"/>
      <c r="E36" s="48"/>
      <c r="F36" s="48"/>
      <c r="G36" s="47"/>
      <c r="H36" s="47"/>
      <c r="I36" s="41"/>
      <c r="J36" s="41"/>
    </row>
    <row r="37" spans="1:10" ht="15.75">
      <c r="A37" s="48"/>
      <c r="B37" s="48"/>
      <c r="C37" s="48"/>
      <c r="D37" s="48"/>
      <c r="E37" s="48"/>
      <c r="F37" s="48"/>
      <c r="G37" s="48"/>
      <c r="H37" s="48"/>
      <c r="I37" s="41"/>
      <c r="J37" s="41"/>
    </row>
    <row r="38" spans="1:10" ht="15.75">
      <c r="A38" s="48"/>
      <c r="B38" s="48"/>
      <c r="C38" s="48"/>
      <c r="D38" s="48"/>
      <c r="E38" s="48"/>
      <c r="F38" s="47"/>
      <c r="G38" s="47"/>
      <c r="H38" s="47"/>
      <c r="I38" s="41"/>
      <c r="J38" s="41"/>
    </row>
    <row r="39" spans="1:10" ht="15.75">
      <c r="A39" s="48"/>
      <c r="B39" s="48"/>
      <c r="C39" s="48"/>
      <c r="D39" s="48"/>
      <c r="E39" s="48"/>
      <c r="F39" s="48"/>
      <c r="G39" s="47"/>
      <c r="H39" s="47"/>
      <c r="I39" s="41"/>
      <c r="J39" s="41"/>
    </row>
    <row r="40" spans="1:10" ht="15.75">
      <c r="A40" s="46"/>
      <c r="B40" s="46"/>
      <c r="C40" s="46"/>
      <c r="D40" s="46"/>
      <c r="E40" s="46"/>
      <c r="F40" s="46"/>
      <c r="H40" s="45"/>
      <c r="I40" s="41"/>
      <c r="J40" s="41"/>
    </row>
    <row r="41" spans="1:10" ht="15.75">
      <c r="A41" s="44"/>
      <c r="B41" s="535" t="s">
        <v>213</v>
      </c>
      <c r="C41" s="535"/>
      <c r="D41" s="41"/>
      <c r="E41" s="41"/>
      <c r="F41" s="536" t="s">
        <v>212</v>
      </c>
      <c r="G41" s="536"/>
      <c r="H41" s="45"/>
      <c r="I41" s="41"/>
      <c r="J41" s="41"/>
    </row>
    <row r="42" spans="1:10" ht="15.75">
      <c r="A42" s="42"/>
      <c r="B42" s="42"/>
      <c r="C42" s="41"/>
      <c r="D42" s="41"/>
      <c r="E42" s="41"/>
      <c r="F42" s="534"/>
      <c r="G42" s="534"/>
      <c r="H42" s="43"/>
    </row>
    <row r="43" spans="1:10">
      <c r="A43" s="41"/>
      <c r="B43" s="41"/>
      <c r="C43" s="41"/>
      <c r="D43" s="41"/>
      <c r="E43" s="41"/>
      <c r="F43" s="41"/>
      <c r="G43" s="41"/>
      <c r="H43" s="41"/>
    </row>
    <row r="44" spans="1:10" ht="15.75">
      <c r="D44" s="42"/>
      <c r="E44" s="41"/>
      <c r="F44" s="41"/>
      <c r="G44" s="41"/>
      <c r="H44" s="41"/>
    </row>
    <row r="45" spans="1:10" ht="15.75">
      <c r="D45" s="42"/>
      <c r="E45" s="41"/>
      <c r="F45" s="41"/>
      <c r="G45" s="41"/>
      <c r="H45" s="41"/>
    </row>
  </sheetData>
  <mergeCells count="13">
    <mergeCell ref="A10:H10"/>
    <mergeCell ref="A19:C19"/>
    <mergeCell ref="A14:B14"/>
    <mergeCell ref="A16:C16"/>
    <mergeCell ref="A17:C17"/>
    <mergeCell ref="F42:G42"/>
    <mergeCell ref="B41:C41"/>
    <mergeCell ref="F41:G41"/>
    <mergeCell ref="A22:B22"/>
    <mergeCell ref="B25:C25"/>
    <mergeCell ref="D22:E22"/>
    <mergeCell ref="D23:E23"/>
    <mergeCell ref="A23:B24"/>
  </mergeCells>
  <pageMargins left="0.70866141732283472" right="0.70866141732283472" top="0.35433070866141736" bottom="0.35433070866141736" header="0.31496062992125984" footer="0.31496062992125984"/>
  <pageSetup paperSize="9" scale="72" orientation="portrait" r:id="rId1"/>
  <headerFooter>
    <oddHeader xml:space="preserve">&amp;C
</oddHeader>
  </headerFooter>
  <drawing r:id="rId2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Munka11"/>
  <dimension ref="A1:J45"/>
  <sheetViews>
    <sheetView view="pageBreakPreview" zoomScale="90" zoomScaleNormal="115" zoomScaleSheetLayoutView="90" zoomScalePageLayoutView="115" workbookViewId="0">
      <selection activeCell="H19" sqref="H19"/>
    </sheetView>
  </sheetViews>
  <sheetFormatPr defaultColWidth="9.140625" defaultRowHeight="15"/>
  <cols>
    <col min="1" max="1" width="7.42578125" style="40" customWidth="1"/>
    <col min="2" max="2" width="38.42578125" style="40" customWidth="1"/>
    <col min="3" max="3" width="6.28515625" style="40" hidden="1" customWidth="1"/>
    <col min="4" max="4" width="13.42578125" style="40" customWidth="1"/>
    <col min="5" max="5" width="12.42578125" style="40" customWidth="1"/>
    <col min="6" max="6" width="13.7109375" style="40" customWidth="1"/>
    <col min="7" max="8" width="17.28515625" style="40" customWidth="1"/>
    <col min="9" max="9" width="8.42578125" style="40" customWidth="1"/>
    <col min="10" max="10" width="1.7109375" style="40" customWidth="1"/>
    <col min="11" max="16384" width="9.140625" style="40"/>
  </cols>
  <sheetData>
    <row r="1" spans="1:10" ht="14.85" customHeight="1">
      <c r="F1" s="101"/>
      <c r="G1" s="100"/>
      <c r="H1" s="100"/>
      <c r="I1" s="100"/>
      <c r="J1" s="100"/>
    </row>
    <row r="2" spans="1:10" ht="14.85" customHeight="1">
      <c r="F2" s="100"/>
      <c r="G2" s="100"/>
      <c r="H2" s="100"/>
      <c r="I2" s="100"/>
      <c r="J2" s="100"/>
    </row>
    <row r="3" spans="1:10" ht="14.85" customHeight="1">
      <c r="F3" s="100"/>
      <c r="G3" s="100"/>
      <c r="H3" s="100"/>
      <c r="I3" s="100"/>
      <c r="J3" s="100"/>
    </row>
    <row r="4" spans="1:10" ht="14.85" customHeight="1">
      <c r="F4" s="100"/>
      <c r="G4" s="100"/>
      <c r="H4" s="100"/>
      <c r="I4" s="100"/>
      <c r="J4" s="100"/>
    </row>
    <row r="5" spans="1:10" ht="14.85" customHeight="1">
      <c r="F5" s="100"/>
      <c r="G5" s="100"/>
      <c r="H5" s="100"/>
      <c r="I5" s="100"/>
      <c r="J5" s="100"/>
    </row>
    <row r="6" spans="1:10" ht="14.85" customHeight="1">
      <c r="F6" s="100"/>
      <c r="G6" s="100"/>
      <c r="H6" s="100"/>
      <c r="I6" s="100"/>
      <c r="J6" s="100"/>
    </row>
    <row r="7" spans="1:10" ht="18" customHeight="1"/>
    <row r="8" spans="1:10" ht="18" customHeight="1" thickBot="1"/>
    <row r="9" spans="1:10" ht="18" customHeight="1">
      <c r="A9" s="99"/>
      <c r="B9" s="99"/>
      <c r="C9" s="99"/>
      <c r="D9" s="99"/>
      <c r="E9" s="99"/>
      <c r="F9" s="99"/>
      <c r="G9" s="99"/>
      <c r="H9" s="99"/>
    </row>
    <row r="10" spans="1:10" ht="33.75">
      <c r="A10" s="542" t="s">
        <v>261</v>
      </c>
      <c r="B10" s="542"/>
      <c r="C10" s="542"/>
      <c r="D10" s="542"/>
      <c r="E10" s="542"/>
      <c r="F10" s="542"/>
      <c r="G10" s="542"/>
      <c r="H10" s="542"/>
      <c r="I10" s="41"/>
      <c r="J10" s="41"/>
    </row>
    <row r="11" spans="1:10" ht="19.5">
      <c r="A11" s="98"/>
      <c r="B11" s="98"/>
      <c r="C11" s="98"/>
      <c r="D11" s="98"/>
      <c r="E11" s="98"/>
      <c r="F11" s="98"/>
      <c r="G11" s="41"/>
      <c r="H11" s="41"/>
      <c r="I11" s="41"/>
      <c r="J11" s="41"/>
    </row>
    <row r="12" spans="1:10" ht="34.35" customHeight="1">
      <c r="A12" s="97" t="s">
        <v>260</v>
      </c>
      <c r="B12" s="97"/>
      <c r="C12" s="96"/>
      <c r="D12" s="96"/>
      <c r="E12" s="96"/>
      <c r="F12" s="96"/>
      <c r="G12" s="159" t="s">
        <v>691</v>
      </c>
      <c r="H12" s="160"/>
      <c r="I12" s="93"/>
      <c r="J12" s="41"/>
    </row>
    <row r="13" spans="1:10" ht="15.75" thickBot="1">
      <c r="J13" s="41"/>
    </row>
    <row r="14" spans="1:10" ht="15.75">
      <c r="A14" s="544" t="s">
        <v>259</v>
      </c>
      <c r="B14" s="544"/>
      <c r="C14" s="90"/>
      <c r="D14" s="90"/>
      <c r="E14" s="92" t="s">
        <v>258</v>
      </c>
      <c r="F14" s="91"/>
      <c r="G14" s="90"/>
      <c r="H14" s="90"/>
      <c r="I14" s="42"/>
      <c r="J14" s="41"/>
    </row>
    <row r="15" spans="1:10">
      <c r="C15" s="41"/>
      <c r="D15" s="41"/>
      <c r="E15" s="88"/>
      <c r="F15" s="41"/>
      <c r="G15" s="41"/>
      <c r="H15" s="41"/>
      <c r="I15" s="41"/>
      <c r="J15" s="41"/>
    </row>
    <row r="16" spans="1:10" ht="23.25">
      <c r="A16" s="545" t="s">
        <v>229</v>
      </c>
      <c r="B16" s="545"/>
      <c r="C16" s="545"/>
      <c r="D16" s="86"/>
      <c r="E16" s="157"/>
      <c r="F16" s="87"/>
      <c r="G16" s="87"/>
      <c r="H16" s="86"/>
      <c r="I16" s="86"/>
      <c r="J16" s="86"/>
    </row>
    <row r="17" spans="1:10" ht="15.75">
      <c r="A17" s="546" t="s">
        <v>256</v>
      </c>
      <c r="B17" s="546"/>
      <c r="C17" s="546"/>
      <c r="D17" s="81"/>
      <c r="E17" s="83"/>
      <c r="F17" s="82"/>
      <c r="G17" s="82"/>
      <c r="H17" s="82"/>
      <c r="I17" s="41"/>
      <c r="J17" s="41"/>
    </row>
    <row r="18" spans="1:10" ht="15.75">
      <c r="A18" s="80"/>
      <c r="B18" s="80"/>
      <c r="C18" s="84"/>
      <c r="D18" s="82"/>
      <c r="E18" s="83"/>
      <c r="F18" s="82"/>
      <c r="G18" s="82"/>
      <c r="H18" s="80"/>
    </row>
    <row r="19" spans="1:10" ht="15.75">
      <c r="A19" s="543" t="s">
        <v>254</v>
      </c>
      <c r="B19" s="543"/>
      <c r="C19" s="543"/>
      <c r="D19" s="81"/>
      <c r="E19" s="158"/>
      <c r="F19" s="81"/>
      <c r="G19" s="81"/>
      <c r="H19" s="80"/>
    </row>
    <row r="20" spans="1:10" ht="16.5" thickBot="1">
      <c r="A20" s="78"/>
      <c r="B20" s="78"/>
      <c r="C20" s="79"/>
      <c r="D20" s="78"/>
      <c r="E20" s="77"/>
      <c r="F20" s="76"/>
      <c r="G20" s="76"/>
      <c r="H20" s="75"/>
    </row>
    <row r="21" spans="1:10" ht="15.75">
      <c r="D21" s="74"/>
      <c r="E21" s="74"/>
      <c r="F21" s="41"/>
      <c r="G21" s="41"/>
    </row>
    <row r="22" spans="1:10" ht="15.75" customHeight="1">
      <c r="A22" s="537" t="s">
        <v>252</v>
      </c>
      <c r="B22" s="538"/>
      <c r="C22" s="73"/>
      <c r="D22" s="539" t="s">
        <v>251</v>
      </c>
      <c r="E22" s="539"/>
      <c r="F22" s="105"/>
      <c r="G22" s="73" t="s">
        <v>250</v>
      </c>
      <c r="H22" s="104" t="s">
        <v>249</v>
      </c>
    </row>
    <row r="23" spans="1:10" ht="29.1" customHeight="1">
      <c r="A23" s="547"/>
      <c r="B23" s="547"/>
      <c r="C23" s="163"/>
      <c r="D23" s="49"/>
      <c r="E23" s="49"/>
      <c r="F23" s="49"/>
      <c r="G23" s="185" t="s">
        <v>247</v>
      </c>
      <c r="H23" s="163"/>
      <c r="J23" s="41"/>
    </row>
    <row r="24" spans="1:10" ht="31.35" customHeight="1">
      <c r="A24" s="548"/>
      <c r="B24" s="548"/>
      <c r="C24" s="186"/>
      <c r="D24" s="186"/>
      <c r="E24" s="186"/>
      <c r="F24" s="186"/>
      <c r="G24" s="186"/>
      <c r="H24" s="186"/>
      <c r="J24" s="41"/>
    </row>
    <row r="25" spans="1:10" ht="31.5">
      <c r="A25" s="65" t="s">
        <v>246</v>
      </c>
      <c r="B25" s="539" t="s">
        <v>245</v>
      </c>
      <c r="C25" s="539"/>
      <c r="D25" s="64" t="s">
        <v>244</v>
      </c>
      <c r="E25" s="64" t="s">
        <v>243</v>
      </c>
      <c r="F25" s="64" t="s">
        <v>242</v>
      </c>
      <c r="G25" s="63" t="s">
        <v>241</v>
      </c>
      <c r="H25" s="62" t="s">
        <v>240</v>
      </c>
      <c r="J25" s="41"/>
    </row>
    <row r="26" spans="1:10" ht="21.6" customHeight="1">
      <c r="A26" s="61"/>
      <c r="B26" s="161"/>
      <c r="C26" s="161"/>
      <c r="D26" s="60"/>
      <c r="E26" s="60"/>
      <c r="F26" s="60"/>
      <c r="G26" s="60"/>
      <c r="H26" s="59"/>
      <c r="I26" s="41"/>
      <c r="J26" s="41"/>
    </row>
    <row r="27" spans="1:10" ht="21.6" customHeight="1">
      <c r="A27" s="61"/>
      <c r="B27" s="161"/>
      <c r="C27" s="161"/>
      <c r="D27" s="60"/>
      <c r="E27" s="60"/>
      <c r="F27" s="60"/>
      <c r="G27" s="60"/>
      <c r="H27" s="59"/>
      <c r="I27" s="41"/>
      <c r="J27" s="41"/>
    </row>
    <row r="28" spans="1:10" ht="21.6" customHeight="1">
      <c r="A28" s="61"/>
      <c r="B28" s="61"/>
      <c r="C28" s="61"/>
      <c r="D28" s="60"/>
      <c r="E28" s="60"/>
      <c r="F28" s="60"/>
      <c r="G28" s="60"/>
      <c r="H28" s="59"/>
      <c r="I28" s="41"/>
      <c r="J28" s="41"/>
    </row>
    <row r="29" spans="1:10" ht="21.6" customHeight="1">
      <c r="A29" s="61"/>
      <c r="B29" s="61"/>
      <c r="C29" s="61"/>
      <c r="D29" s="60"/>
      <c r="E29" s="60"/>
      <c r="F29" s="60"/>
      <c r="G29" s="60"/>
      <c r="H29" s="59"/>
      <c r="I29" s="41"/>
      <c r="J29" s="41"/>
    </row>
    <row r="30" spans="1:10" ht="21.6" customHeight="1">
      <c r="A30" s="61"/>
      <c r="B30" s="61"/>
      <c r="C30" s="61"/>
      <c r="D30" s="60"/>
      <c r="E30" s="60"/>
      <c r="F30" s="60"/>
      <c r="G30" s="60"/>
      <c r="H30" s="59"/>
      <c r="I30" s="41"/>
      <c r="J30" s="41"/>
    </row>
    <row r="31" spans="1:10" ht="21.6" customHeight="1">
      <c r="A31" s="61"/>
      <c r="B31" s="61"/>
      <c r="C31" s="61"/>
      <c r="D31" s="60"/>
      <c r="E31" s="60"/>
      <c r="F31" s="60"/>
      <c r="G31" s="60"/>
      <c r="H31" s="59"/>
      <c r="I31" s="41"/>
      <c r="J31" s="41"/>
    </row>
    <row r="32" spans="1:10" ht="21.6" customHeight="1" thickBot="1">
      <c r="A32" s="61"/>
      <c r="B32" s="161"/>
      <c r="C32" s="161"/>
      <c r="D32" s="60"/>
      <c r="E32" s="60"/>
      <c r="F32" s="60"/>
      <c r="G32" s="60"/>
      <c r="H32" s="59"/>
      <c r="I32" s="41"/>
      <c r="J32" s="41"/>
    </row>
    <row r="33" spans="1:10" customFormat="1" ht="29.85" customHeight="1">
      <c r="A33" s="58"/>
      <c r="B33" s="58" t="s">
        <v>237</v>
      </c>
      <c r="C33" s="57"/>
      <c r="D33" s="56"/>
      <c r="E33" s="55">
        <f>SUM(E26:E32)</f>
        <v>0</v>
      </c>
      <c r="F33" s="55">
        <f>SUM(F26:F32)</f>
        <v>0</v>
      </c>
      <c r="G33" s="55">
        <f>SUM(G26:G32)</f>
        <v>0</v>
      </c>
      <c r="H33" s="55">
        <f>SUM(H26:H32)</f>
        <v>0</v>
      </c>
      <c r="I33" s="50"/>
    </row>
    <row r="34" spans="1:10" customFormat="1" ht="21" customHeight="1">
      <c r="A34" s="54"/>
      <c r="B34" s="54"/>
      <c r="C34" s="54"/>
      <c r="D34" s="53"/>
      <c r="E34" s="53"/>
      <c r="F34" s="53"/>
      <c r="G34" s="52"/>
      <c r="H34" s="51"/>
      <c r="I34" s="50"/>
    </row>
    <row r="35" spans="1:10" ht="15.75">
      <c r="A35"/>
      <c r="B35"/>
      <c r="C35"/>
      <c r="D35" s="49"/>
      <c r="E35" s="7"/>
      <c r="F35" s="7"/>
      <c r="G35" s="7"/>
      <c r="H35" s="7"/>
      <c r="I35" s="41"/>
      <c r="J35" s="41"/>
    </row>
    <row r="36" spans="1:10" ht="15.75">
      <c r="A36" s="48"/>
      <c r="B36" s="48"/>
      <c r="C36" s="48"/>
      <c r="D36" s="48"/>
      <c r="E36" s="48"/>
      <c r="F36" s="48"/>
      <c r="G36" s="47"/>
      <c r="H36" s="47"/>
      <c r="I36" s="41"/>
      <c r="J36" s="41"/>
    </row>
    <row r="37" spans="1:10" ht="15.75">
      <c r="A37" s="48"/>
      <c r="B37" s="48"/>
      <c r="C37" s="48"/>
      <c r="D37" s="48"/>
      <c r="E37" s="48"/>
      <c r="F37" s="48"/>
      <c r="G37" s="48"/>
      <c r="H37" s="48"/>
      <c r="I37" s="41"/>
      <c r="J37" s="41"/>
    </row>
    <row r="38" spans="1:10" ht="15.75">
      <c r="A38" s="48"/>
      <c r="B38" s="48"/>
      <c r="C38" s="48"/>
      <c r="D38" s="48"/>
      <c r="E38" s="48"/>
      <c r="F38" s="47"/>
      <c r="G38" s="47"/>
      <c r="H38" s="47"/>
      <c r="I38" s="41"/>
      <c r="J38" s="41"/>
    </row>
    <row r="39" spans="1:10" ht="15.75">
      <c r="A39" s="48"/>
      <c r="B39" s="48"/>
      <c r="C39" s="48"/>
      <c r="D39" s="48"/>
      <c r="E39" s="48"/>
      <c r="F39" s="48"/>
      <c r="G39" s="47"/>
      <c r="H39" s="47"/>
      <c r="I39" s="41"/>
      <c r="J39" s="41"/>
    </row>
    <row r="40" spans="1:10" ht="15.75">
      <c r="A40" s="46"/>
      <c r="B40" s="46"/>
      <c r="C40" s="46"/>
      <c r="D40" s="46"/>
      <c r="E40" s="46"/>
      <c r="F40" s="46"/>
      <c r="H40" s="45"/>
      <c r="I40" s="41"/>
      <c r="J40" s="41"/>
    </row>
    <row r="41" spans="1:10" ht="15.75">
      <c r="A41" s="44"/>
      <c r="B41" s="535" t="s">
        <v>236</v>
      </c>
      <c r="C41" s="535"/>
      <c r="D41" s="41"/>
      <c r="E41" s="41"/>
      <c r="F41" s="536" t="s">
        <v>235</v>
      </c>
      <c r="G41" s="536"/>
      <c r="H41" s="45"/>
      <c r="I41" s="41"/>
      <c r="J41" s="41"/>
    </row>
    <row r="42" spans="1:10" ht="15.75">
      <c r="A42" s="42"/>
      <c r="B42" s="42"/>
      <c r="C42" s="41"/>
      <c r="D42" s="41"/>
      <c r="E42" s="41"/>
      <c r="F42" s="534"/>
      <c r="G42" s="534"/>
      <c r="H42" s="43"/>
    </row>
    <row r="43" spans="1:10">
      <c r="A43" s="41"/>
      <c r="B43" s="41"/>
      <c r="C43" s="41"/>
      <c r="D43" s="41"/>
      <c r="E43" s="41"/>
      <c r="F43" s="41"/>
      <c r="G43" s="41"/>
      <c r="H43" s="41"/>
    </row>
    <row r="44" spans="1:10" ht="15.75">
      <c r="D44" s="42"/>
      <c r="E44" s="41"/>
      <c r="F44" s="41"/>
      <c r="G44" s="41"/>
      <c r="H44" s="41"/>
    </row>
    <row r="45" spans="1:10" ht="15.75">
      <c r="D45" s="42"/>
      <c r="E45" s="41"/>
      <c r="F45" s="41"/>
      <c r="G45" s="41"/>
      <c r="H45" s="41"/>
    </row>
  </sheetData>
  <mergeCells count="12">
    <mergeCell ref="A22:B22"/>
    <mergeCell ref="A10:H10"/>
    <mergeCell ref="A14:B14"/>
    <mergeCell ref="A16:C16"/>
    <mergeCell ref="A17:C17"/>
    <mergeCell ref="A19:C19"/>
    <mergeCell ref="D22:E22"/>
    <mergeCell ref="B25:C25"/>
    <mergeCell ref="B41:C41"/>
    <mergeCell ref="F41:G41"/>
    <mergeCell ref="F42:G42"/>
    <mergeCell ref="A23:B24"/>
  </mergeCells>
  <pageMargins left="0.70866141732283472" right="0.70866141732283472" top="0.35433070866141736" bottom="0.35433070866141736" header="0.31496062992125984" footer="0.31496062992125984"/>
  <pageSetup paperSize="9" scale="72" orientation="portrait" r:id="rId1"/>
  <headerFooter>
    <oddHeader xml:space="preserve">&amp;C
</oddHeader>
  </headerFooter>
  <drawing r:id="rId2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Munka9"/>
  <dimension ref="A1:O50"/>
  <sheetViews>
    <sheetView view="pageBreakPreview" zoomScale="90" zoomScaleNormal="115" zoomScaleSheetLayoutView="90" zoomScalePageLayoutView="115" workbookViewId="0">
      <selection activeCell="F43" sqref="F43:G43"/>
    </sheetView>
  </sheetViews>
  <sheetFormatPr defaultColWidth="9.140625" defaultRowHeight="15"/>
  <cols>
    <col min="1" max="1" width="6.42578125" style="40" customWidth="1"/>
    <col min="2" max="2" width="15.28515625" style="40" customWidth="1"/>
    <col min="3" max="3" width="19.28515625" style="40" customWidth="1"/>
    <col min="4" max="4" width="11.7109375" style="40" customWidth="1"/>
    <col min="5" max="5" width="12.42578125" style="40" customWidth="1"/>
    <col min="6" max="6" width="13.7109375" style="40" customWidth="1"/>
    <col min="7" max="7" width="15.28515625" style="40" customWidth="1"/>
    <col min="8" max="8" width="19.28515625" style="40" customWidth="1"/>
    <col min="9" max="9" width="8.42578125" style="40" customWidth="1"/>
    <col min="10" max="10" width="1.7109375" style="40" customWidth="1"/>
    <col min="11" max="13" width="9.140625" style="40"/>
    <col min="14" max="14" width="14.28515625" style="40" bestFit="1" customWidth="1"/>
    <col min="15" max="16384" width="9.140625" style="40"/>
  </cols>
  <sheetData>
    <row r="1" spans="1:15" ht="14.85" customHeight="1">
      <c r="F1" s="101"/>
      <c r="G1" s="100"/>
      <c r="H1" s="100"/>
      <c r="I1" s="100"/>
      <c r="J1" s="100"/>
    </row>
    <row r="2" spans="1:15" ht="14.85" customHeight="1">
      <c r="F2" s="100"/>
      <c r="G2" s="100"/>
      <c r="H2" s="100"/>
      <c r="I2" s="100"/>
      <c r="J2" s="100"/>
    </row>
    <row r="3" spans="1:15" ht="14.85" customHeight="1">
      <c r="F3" s="100"/>
      <c r="G3" s="100"/>
      <c r="H3" s="100"/>
      <c r="I3" s="100"/>
      <c r="J3" s="100"/>
    </row>
    <row r="4" spans="1:15" ht="14.85" customHeight="1">
      <c r="F4" s="100"/>
      <c r="G4" s="100"/>
      <c r="H4" s="100"/>
      <c r="I4" s="100"/>
      <c r="J4" s="100"/>
    </row>
    <row r="5" spans="1:15" ht="14.85" customHeight="1">
      <c r="F5" s="100"/>
      <c r="G5" s="100"/>
      <c r="H5" s="100"/>
      <c r="I5" s="100"/>
      <c r="J5" s="100"/>
    </row>
    <row r="6" spans="1:15" ht="14.85" customHeight="1">
      <c r="F6" s="100"/>
      <c r="G6" s="100"/>
      <c r="H6" s="100"/>
      <c r="I6" s="100"/>
      <c r="J6" s="100"/>
    </row>
    <row r="7" spans="1:15" ht="18" customHeight="1"/>
    <row r="8" spans="1:15" ht="18" customHeight="1"/>
    <row r="9" spans="1:15" ht="18" customHeight="1"/>
    <row r="10" spans="1:15" ht="18" customHeight="1"/>
    <row r="11" spans="1:15" ht="18" customHeight="1"/>
    <row r="12" spans="1:15" ht="18" customHeight="1"/>
    <row r="13" spans="1:15" ht="33.75">
      <c r="A13" s="542" t="s">
        <v>261</v>
      </c>
      <c r="B13" s="542"/>
      <c r="C13" s="542"/>
      <c r="D13" s="542"/>
      <c r="E13" s="542"/>
      <c r="F13" s="542"/>
      <c r="G13" s="542"/>
      <c r="H13" s="542"/>
      <c r="I13" s="41"/>
      <c r="J13" s="41"/>
    </row>
    <row r="14" spans="1:15" ht="19.5">
      <c r="A14" s="98"/>
      <c r="B14" s="98"/>
      <c r="C14" s="98"/>
      <c r="D14" s="98"/>
      <c r="E14" s="98"/>
      <c r="F14" s="98"/>
      <c r="G14" s="41"/>
      <c r="H14" s="41"/>
      <c r="I14" s="41"/>
      <c r="J14" s="41"/>
    </row>
    <row r="15" spans="1:15" ht="34.35" customHeight="1">
      <c r="A15" s="97" t="s">
        <v>260</v>
      </c>
      <c r="B15" s="97"/>
      <c r="C15" s="96"/>
      <c r="D15" s="96"/>
      <c r="E15" s="96"/>
      <c r="F15" s="96"/>
      <c r="G15" s="95"/>
      <c r="H15" s="94" t="s">
        <v>232</v>
      </c>
      <c r="I15" s="93"/>
      <c r="J15" s="41"/>
    </row>
    <row r="16" spans="1:15" ht="15.75" thickBot="1">
      <c r="J16" s="41"/>
      <c r="O16" s="89"/>
    </row>
    <row r="17" spans="1:15" ht="15.75">
      <c r="A17" s="544" t="s">
        <v>259</v>
      </c>
      <c r="B17" s="544"/>
      <c r="C17" s="90"/>
      <c r="D17" s="90"/>
      <c r="E17" s="92" t="s">
        <v>258</v>
      </c>
      <c r="F17" s="91"/>
      <c r="G17" s="90"/>
      <c r="H17" s="90"/>
      <c r="I17" s="42"/>
      <c r="J17" s="41"/>
      <c r="O17" s="89"/>
    </row>
    <row r="18" spans="1:15">
      <c r="C18" s="41"/>
      <c r="D18" s="41"/>
      <c r="E18" s="88"/>
      <c r="F18" s="41"/>
      <c r="G18" s="41"/>
      <c r="H18" s="41"/>
      <c r="I18" s="41"/>
      <c r="J18" s="41"/>
    </row>
    <row r="19" spans="1:15" ht="23.25">
      <c r="A19" s="545" t="s">
        <v>229</v>
      </c>
      <c r="B19" s="545"/>
      <c r="C19" s="545"/>
      <c r="D19" s="86"/>
      <c r="E19" s="549" t="s">
        <v>257</v>
      </c>
      <c r="F19" s="545"/>
      <c r="G19" s="87"/>
      <c r="H19" s="86"/>
      <c r="I19" s="86"/>
      <c r="J19" s="86"/>
      <c r="N19" s="85"/>
    </row>
    <row r="20" spans="1:15" ht="15.75">
      <c r="A20" s="546" t="s">
        <v>256</v>
      </c>
      <c r="B20" s="546"/>
      <c r="C20" s="546"/>
      <c r="D20" s="81"/>
      <c r="E20" s="550" t="s">
        <v>255</v>
      </c>
      <c r="F20" s="551"/>
      <c r="G20" s="551"/>
      <c r="H20" s="551"/>
      <c r="I20" s="41"/>
      <c r="J20" s="41"/>
    </row>
    <row r="21" spans="1:15" ht="15.75">
      <c r="A21" s="80"/>
      <c r="B21" s="80"/>
      <c r="C21" s="84"/>
      <c r="D21" s="82"/>
      <c r="E21" s="83"/>
      <c r="F21" s="82"/>
      <c r="G21" s="82"/>
      <c r="H21" s="80"/>
      <c r="N21" s="69"/>
    </row>
    <row r="22" spans="1:15" ht="15.75">
      <c r="A22" s="543" t="s">
        <v>254</v>
      </c>
      <c r="B22" s="543"/>
      <c r="C22" s="543"/>
      <c r="D22" s="81"/>
      <c r="E22" s="552" t="s">
        <v>253</v>
      </c>
      <c r="F22" s="543"/>
      <c r="G22" s="543"/>
      <c r="H22" s="80"/>
      <c r="N22" s="69"/>
    </row>
    <row r="23" spans="1:15" ht="16.5" thickBot="1">
      <c r="A23" s="78"/>
      <c r="B23" s="78"/>
      <c r="C23" s="79"/>
      <c r="D23" s="78"/>
      <c r="E23" s="77"/>
      <c r="F23" s="76"/>
      <c r="G23" s="76"/>
      <c r="H23" s="75"/>
      <c r="N23" s="69"/>
    </row>
    <row r="24" spans="1:15" ht="15.75">
      <c r="D24" s="74"/>
      <c r="E24" s="74"/>
      <c r="F24" s="41"/>
      <c r="G24" s="41"/>
      <c r="N24" s="69"/>
    </row>
    <row r="25" spans="1:15" ht="31.5">
      <c r="A25" s="537" t="s">
        <v>252</v>
      </c>
      <c r="B25" s="538"/>
      <c r="C25" s="73" t="s">
        <v>251</v>
      </c>
      <c r="D25" s="73"/>
      <c r="E25" s="73"/>
      <c r="F25" s="105"/>
      <c r="G25" s="73" t="s">
        <v>250</v>
      </c>
      <c r="H25" s="104" t="s">
        <v>249</v>
      </c>
      <c r="N25" s="69"/>
    </row>
    <row r="26" spans="1:15" ht="29.1" customHeight="1">
      <c r="A26" s="553" t="s">
        <v>248</v>
      </c>
      <c r="B26" s="553"/>
      <c r="C26" s="103" t="d">
        <v>2023-01-16</v>
      </c>
      <c r="D26" s="68"/>
      <c r="E26" s="68"/>
      <c r="F26" s="68"/>
      <c r="G26" s="67" t="s">
        <v>247</v>
      </c>
      <c r="H26" s="66" t="d">
        <v>2023-08-23</v>
      </c>
      <c r="J26" s="41"/>
    </row>
    <row r="27" spans="1:15" ht="31.35" customHeight="1">
      <c r="J27" s="41"/>
    </row>
    <row r="28" spans="1:15" ht="31.5">
      <c r="A28" s="65" t="s">
        <v>246</v>
      </c>
      <c r="B28" s="539" t="s">
        <v>245</v>
      </c>
      <c r="C28" s="539"/>
      <c r="D28" s="64" t="s">
        <v>244</v>
      </c>
      <c r="E28" s="64" t="s">
        <v>243</v>
      </c>
      <c r="F28" s="64" t="s">
        <v>242</v>
      </c>
      <c r="G28" s="63" t="s">
        <v>241</v>
      </c>
      <c r="H28" s="62" t="s">
        <v>240</v>
      </c>
      <c r="J28" s="41"/>
    </row>
    <row r="29" spans="1:15" ht="20.25" customHeight="1">
      <c r="A29" s="61">
        <v>1</v>
      </c>
      <c r="B29" s="554" t="s">
        <v>239</v>
      </c>
      <c r="C29" s="554"/>
      <c r="D29" s="60" t="s">
        <v>238</v>
      </c>
      <c r="E29" s="60">
        <v>2700</v>
      </c>
      <c r="F29" s="60">
        <v>500</v>
      </c>
      <c r="G29" s="60">
        <v>4</v>
      </c>
      <c r="H29" s="102">
        <v>2820</v>
      </c>
      <c r="I29" s="41"/>
      <c r="J29" s="41"/>
    </row>
    <row r="30" spans="1:15" ht="21.6" customHeight="1">
      <c r="A30" s="61"/>
      <c r="B30" s="556">
        <v>8024290</v>
      </c>
      <c r="C30" s="556"/>
      <c r="D30" s="60"/>
      <c r="E30" s="60"/>
      <c r="F30" s="60"/>
      <c r="G30" s="60"/>
      <c r="H30" s="59"/>
      <c r="I30" s="41"/>
      <c r="J30" s="41"/>
    </row>
    <row r="31" spans="1:15" ht="21.6" customHeight="1">
      <c r="A31" s="61"/>
      <c r="B31" s="555"/>
      <c r="C31" s="555"/>
      <c r="D31" s="60"/>
      <c r="E31" s="60"/>
      <c r="F31" s="60"/>
      <c r="G31" s="60"/>
      <c r="H31" s="59"/>
      <c r="I31" s="41"/>
      <c r="J31" s="41"/>
    </row>
    <row r="32" spans="1:15" ht="21.6" customHeight="1">
      <c r="A32" s="61"/>
      <c r="B32" s="555"/>
      <c r="C32" s="555"/>
      <c r="D32" s="60"/>
      <c r="E32" s="60"/>
      <c r="F32" s="60"/>
      <c r="G32" s="60"/>
      <c r="H32" s="59"/>
      <c r="I32" s="41"/>
      <c r="J32" s="41"/>
    </row>
    <row r="33" spans="1:10" ht="21.6" customHeight="1">
      <c r="A33" s="61"/>
      <c r="B33" s="555"/>
      <c r="C33" s="555"/>
      <c r="D33" s="60"/>
      <c r="E33" s="60"/>
      <c r="F33" s="60"/>
      <c r="G33" s="60"/>
      <c r="H33" s="59"/>
      <c r="I33" s="41"/>
      <c r="J33" s="41"/>
    </row>
    <row r="34" spans="1:10" ht="21.6" customHeight="1" thickBot="1">
      <c r="A34" s="61"/>
      <c r="B34" s="555"/>
      <c r="C34" s="555"/>
      <c r="D34" s="60"/>
      <c r="E34" s="60"/>
      <c r="F34" s="60"/>
      <c r="G34" s="60"/>
      <c r="H34" s="59"/>
      <c r="I34" s="41"/>
      <c r="J34" s="41"/>
    </row>
    <row r="35" spans="1:10" customFormat="1" ht="29.85" customHeight="1">
      <c r="A35" s="58"/>
      <c r="B35" s="58" t="s">
        <v>237</v>
      </c>
      <c r="C35" s="57"/>
      <c r="D35" s="56"/>
      <c r="E35" s="55">
        <f>SUM(E29:E34)</f>
        <v>2700</v>
      </c>
      <c r="F35" s="55">
        <f>SUM(F29:F34)</f>
        <v>500</v>
      </c>
      <c r="G35" s="55">
        <f>SUM(G29:G34)</f>
        <v>4</v>
      </c>
      <c r="H35" s="55">
        <f>SUM(H29:H34)</f>
        <v>2820</v>
      </c>
      <c r="I35" s="50"/>
    </row>
    <row r="36" spans="1:10" customFormat="1" ht="21" customHeight="1">
      <c r="A36" s="54"/>
      <c r="B36" s="54"/>
      <c r="C36" s="54"/>
      <c r="D36" s="53"/>
      <c r="E36" s="53"/>
      <c r="F36" s="53"/>
      <c r="G36" s="52"/>
      <c r="H36" s="51"/>
      <c r="I36" s="50"/>
    </row>
    <row r="37" spans="1:10" ht="15.75">
      <c r="A37"/>
      <c r="B37"/>
      <c r="C37"/>
      <c r="D37" s="49"/>
      <c r="E37" s="7"/>
      <c r="F37" s="7"/>
      <c r="G37" s="7"/>
      <c r="H37" s="7"/>
      <c r="I37" s="41"/>
      <c r="J37" s="41"/>
    </row>
    <row r="38" spans="1:10" ht="15.75">
      <c r="A38" s="48"/>
      <c r="B38" s="48"/>
      <c r="C38" s="48"/>
      <c r="D38" s="48"/>
      <c r="E38" s="48"/>
      <c r="F38" s="48"/>
      <c r="G38" s="47"/>
      <c r="H38" s="47"/>
      <c r="I38" s="41"/>
      <c r="J38" s="41"/>
    </row>
    <row r="39" spans="1:10" ht="15.75">
      <c r="A39" s="48"/>
      <c r="B39" s="48"/>
      <c r="C39" s="48"/>
      <c r="D39" s="48"/>
      <c r="E39" s="48"/>
      <c r="F39" s="48"/>
      <c r="G39" s="48"/>
      <c r="H39" s="48"/>
      <c r="I39" s="41"/>
      <c r="J39" s="41"/>
    </row>
    <row r="40" spans="1:10" ht="15.75">
      <c r="A40" s="48"/>
      <c r="B40" s="48"/>
      <c r="C40" s="48"/>
      <c r="D40" s="48"/>
      <c r="E40" s="48"/>
      <c r="F40" s="47"/>
      <c r="G40" s="47"/>
      <c r="H40" s="47"/>
      <c r="I40" s="41"/>
      <c r="J40" s="41"/>
    </row>
    <row r="41" spans="1:10" ht="15.75">
      <c r="A41" s="48"/>
      <c r="B41" s="48"/>
      <c r="C41" s="48"/>
      <c r="D41" s="48"/>
      <c r="E41" s="48"/>
      <c r="F41" s="48"/>
      <c r="G41" s="47"/>
      <c r="H41" s="47"/>
      <c r="I41" s="41"/>
      <c r="J41" s="41"/>
    </row>
    <row r="42" spans="1:10" ht="15.75">
      <c r="A42" s="46"/>
      <c r="B42" s="46"/>
      <c r="C42" s="46"/>
      <c r="D42" s="46"/>
      <c r="E42" s="46"/>
      <c r="F42" s="46"/>
      <c r="H42" s="45"/>
      <c r="I42" s="41"/>
      <c r="J42" s="41"/>
    </row>
    <row r="43" spans="1:10" ht="15.75">
      <c r="A43" s="44"/>
      <c r="B43" s="535" t="s">
        <v>236</v>
      </c>
      <c r="C43" s="535"/>
      <c r="D43" s="41"/>
      <c r="E43" s="41"/>
      <c r="F43" s="536" t="s">
        <v>235</v>
      </c>
      <c r="G43" s="536"/>
      <c r="H43" s="45"/>
      <c r="I43" s="41"/>
      <c r="J43" s="41"/>
    </row>
    <row r="44" spans="1:10" ht="15.75">
      <c r="A44" s="44"/>
      <c r="B44" s="557"/>
      <c r="C44" s="557"/>
      <c r="D44" s="41"/>
      <c r="E44" s="41"/>
      <c r="F44" s="41"/>
      <c r="G44" s="41"/>
      <c r="H44" s="41"/>
    </row>
    <row r="45" spans="1:10" ht="15.75">
      <c r="A45" s="44"/>
      <c r="B45" s="44"/>
      <c r="C45" s="44"/>
      <c r="D45" s="41"/>
      <c r="E45" s="41"/>
      <c r="F45" s="41"/>
      <c r="G45" s="41"/>
      <c r="H45" s="41"/>
    </row>
    <row r="46" spans="1:10" ht="15.75">
      <c r="A46" s="42"/>
      <c r="B46" s="42"/>
      <c r="C46" s="41"/>
      <c r="D46" s="41"/>
      <c r="E46" s="41"/>
      <c r="F46" s="41"/>
      <c r="G46" s="41"/>
      <c r="H46" s="41"/>
    </row>
    <row r="47" spans="1:10" ht="15.75">
      <c r="A47" s="42"/>
      <c r="B47" s="42"/>
      <c r="C47" s="41"/>
      <c r="D47" s="41"/>
      <c r="E47" s="41"/>
      <c r="F47" s="534" t="s">
        <v>211</v>
      </c>
      <c r="G47" s="534"/>
      <c r="H47" s="43" t="d">
        <f ca="1">TODAY()</f>
        <v>2026-03-03</v>
      </c>
    </row>
    <row r="48" spans="1:10">
      <c r="A48" s="41"/>
      <c r="B48" s="41"/>
      <c r="C48" s="41"/>
      <c r="D48" s="41"/>
      <c r="E48" s="41"/>
      <c r="F48" s="41"/>
      <c r="G48" s="41"/>
      <c r="H48" s="41"/>
    </row>
    <row r="49" spans="4:8" ht="15.75">
      <c r="D49" s="42"/>
      <c r="E49" s="41"/>
      <c r="F49" s="41"/>
      <c r="G49" s="41"/>
      <c r="H49" s="41"/>
    </row>
    <row r="50" spans="4:8" ht="15.75">
      <c r="D50" s="42"/>
      <c r="E50" s="41"/>
      <c r="F50" s="41"/>
      <c r="G50" s="41"/>
      <c r="H50" s="41"/>
    </row>
  </sheetData>
  <mergeCells count="21">
    <mergeCell ref="F47:G47"/>
    <mergeCell ref="A22:C22"/>
    <mergeCell ref="E22:G22"/>
    <mergeCell ref="A25:B25"/>
    <mergeCell ref="A26:B26"/>
    <mergeCell ref="B28:C28"/>
    <mergeCell ref="B29:C29"/>
    <mergeCell ref="B31:C31"/>
    <mergeCell ref="B32:C32"/>
    <mergeCell ref="B33:C33"/>
    <mergeCell ref="B30:C30"/>
    <mergeCell ref="B34:C34"/>
    <mergeCell ref="B43:C43"/>
    <mergeCell ref="F43:G43"/>
    <mergeCell ref="B44:C44"/>
    <mergeCell ref="A13:H13"/>
    <mergeCell ref="A17:B17"/>
    <mergeCell ref="A19:C19"/>
    <mergeCell ref="E19:F19"/>
    <mergeCell ref="A20:C20"/>
    <mergeCell ref="E20:H20"/>
  </mergeCells>
  <pageMargins left="0.70866141732283472" right="0.70866141732283472" top="0.35433070866141736" bottom="0.35433070866141736" header="0.31496062992125984" footer="0.31496062992125984"/>
  <pageSetup paperSize="9" scale="71" orientation="portrait" r:id="rId1"/>
  <headerFooter>
    <oddHeader xml:space="preserve">&amp;C
</oddHeader>
  </headerFooter>
  <drawing r:id="rId2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Munka13"/>
  <dimension ref="A1:D950"/>
  <sheetViews>
    <sheetView zoomScaleNormal="100" workbookViewId="0">
      <selection activeCell="O43" sqref="O43"/>
    </sheetView>
  </sheetViews>
  <sheetFormatPr defaultColWidth="9.140625" defaultRowHeight="15"/>
  <cols>
    <col min="1" max="1" width="25.140625" style="293" customWidth="1"/>
    <col min="2" max="2" width="25.28515625" style="293" customWidth="1"/>
    <col min="3" max="3" width="25.42578125" style="293" customWidth="1"/>
    <col min="4" max="4" width="25" style="293" customWidth="1"/>
    <col min="5" max="16384" width="9.140625" style="293"/>
  </cols>
  <sheetData>
    <row r="1" spans="1:4" ht="25.5" customHeight="1">
      <c r="A1" s="289"/>
      <c r="B1" s="289"/>
      <c r="C1" s="289"/>
      <c r="D1" s="289"/>
    </row>
    <row r="2" spans="1:4" ht="18.75">
      <c r="A2" s="290"/>
      <c r="B2" s="290"/>
      <c r="C2" s="290"/>
      <c r="D2" s="290"/>
    </row>
    <row r="3" spans="1:4" ht="18" customHeight="1">
      <c r="A3" s="291"/>
      <c r="B3" s="291"/>
      <c r="C3" s="291"/>
      <c r="D3" s="291"/>
    </row>
    <row r="4" spans="1:4">
      <c r="A4" s="292"/>
      <c r="B4" s="292"/>
      <c r="C4" s="292"/>
      <c r="D4" s="292"/>
    </row>
    <row r="5" spans="1:4" ht="7.5" customHeight="1">
      <c r="A5" s="294"/>
      <c r="B5" s="294"/>
      <c r="C5" s="294"/>
      <c r="D5" s="294"/>
    </row>
    <row r="6" spans="1:4" ht="25.5" customHeight="1">
      <c r="A6" s="289"/>
      <c r="B6" s="289"/>
      <c r="C6" s="289"/>
      <c r="D6" s="289"/>
    </row>
    <row r="7" spans="1:4" ht="18.75">
      <c r="A7" s="290"/>
      <c r="B7" s="290"/>
      <c r="C7" s="290"/>
      <c r="D7" s="290"/>
    </row>
    <row r="8" spans="1:4" ht="18" customHeight="1">
      <c r="A8" s="291"/>
      <c r="B8" s="291"/>
      <c r="C8" s="291"/>
      <c r="D8" s="291"/>
    </row>
    <row r="9" spans="1:4">
      <c r="A9" s="292"/>
      <c r="B9" s="292"/>
      <c r="C9" s="292"/>
      <c r="D9" s="292"/>
    </row>
    <row r="10" spans="1:4" ht="7.5" customHeight="1">
      <c r="A10" s="292"/>
      <c r="B10" s="292"/>
      <c r="C10" s="292"/>
      <c r="D10" s="292"/>
    </row>
    <row r="11" spans="1:4" ht="25.5" customHeight="1">
      <c r="A11" s="289"/>
      <c r="B11" s="289"/>
      <c r="C11" s="289"/>
      <c r="D11" s="289"/>
    </row>
    <row r="12" spans="1:4" ht="18.75">
      <c r="A12" s="290"/>
      <c r="B12" s="290"/>
      <c r="C12" s="290"/>
      <c r="D12" s="290"/>
    </row>
    <row r="13" spans="1:4" ht="18" customHeight="1">
      <c r="A13" s="291"/>
      <c r="B13" s="291"/>
      <c r="C13" s="291"/>
      <c r="D13" s="291"/>
    </row>
    <row r="14" spans="1:4">
      <c r="A14" s="292"/>
      <c r="B14" s="292"/>
      <c r="C14" s="292"/>
      <c r="D14" s="292"/>
    </row>
    <row r="15" spans="1:4" ht="7.5" customHeight="1">
      <c r="A15" s="292"/>
      <c r="B15" s="292"/>
      <c r="C15" s="292"/>
      <c r="D15" s="292"/>
    </row>
    <row r="16" spans="1:4" ht="25.5" customHeight="1">
      <c r="A16" s="289"/>
      <c r="B16" s="289"/>
      <c r="C16" s="289"/>
      <c r="D16" s="289"/>
    </row>
    <row r="17" spans="1:4" ht="18.75">
      <c r="A17" s="290"/>
      <c r="B17" s="290"/>
      <c r="C17" s="290"/>
      <c r="D17" s="290"/>
    </row>
    <row r="18" spans="1:4" ht="18" customHeight="1">
      <c r="A18" s="291"/>
      <c r="B18" s="291"/>
      <c r="C18" s="291"/>
      <c r="D18" s="291"/>
    </row>
    <row r="19" spans="1:4">
      <c r="A19" s="292"/>
      <c r="B19" s="292"/>
      <c r="C19" s="292"/>
      <c r="D19" s="292"/>
    </row>
    <row r="20" spans="1:4" ht="8.25" customHeight="1">
      <c r="A20" s="292"/>
      <c r="B20" s="292"/>
      <c r="C20" s="292"/>
      <c r="D20" s="292"/>
    </row>
    <row r="21" spans="1:4" ht="25.5" customHeight="1">
      <c r="A21" s="289"/>
      <c r="B21" s="289"/>
      <c r="C21" s="289"/>
      <c r="D21" s="289"/>
    </row>
    <row r="22" spans="1:4" ht="18.75">
      <c r="A22" s="290"/>
      <c r="B22" s="290"/>
      <c r="C22" s="290"/>
      <c r="D22" s="290"/>
    </row>
    <row r="23" spans="1:4" ht="18" customHeight="1">
      <c r="A23" s="291"/>
      <c r="B23" s="291"/>
      <c r="C23" s="291"/>
      <c r="D23" s="291"/>
    </row>
    <row r="24" spans="1:4">
      <c r="A24" s="292"/>
      <c r="B24" s="292"/>
      <c r="C24" s="292"/>
      <c r="D24" s="292"/>
    </row>
    <row r="25" spans="1:4" ht="9" customHeight="1">
      <c r="A25" s="292"/>
      <c r="B25" s="292"/>
      <c r="C25" s="292"/>
      <c r="D25" s="292"/>
    </row>
    <row r="26" spans="1:4" ht="25.5" customHeight="1">
      <c r="A26" s="289"/>
      <c r="B26" s="289"/>
      <c r="C26" s="289"/>
      <c r="D26" s="289"/>
    </row>
    <row r="27" spans="1:4" ht="18.75">
      <c r="A27" s="290"/>
      <c r="B27" s="290"/>
      <c r="C27" s="290"/>
      <c r="D27" s="290"/>
    </row>
    <row r="28" spans="1:4" ht="18" customHeight="1">
      <c r="A28" s="291"/>
      <c r="B28" s="291"/>
      <c r="C28" s="291"/>
      <c r="D28" s="291"/>
    </row>
    <row r="29" spans="1:4">
      <c r="A29" s="292"/>
      <c r="B29" s="292"/>
      <c r="C29" s="292"/>
      <c r="D29" s="292"/>
    </row>
    <row r="30" spans="1:4" ht="8.25" customHeight="1">
      <c r="A30" s="292"/>
      <c r="B30" s="292"/>
      <c r="C30" s="292"/>
      <c r="D30" s="292"/>
    </row>
    <row r="31" spans="1:4" ht="25.5" customHeight="1">
      <c r="A31" s="289"/>
      <c r="B31" s="289"/>
      <c r="C31" s="289"/>
      <c r="D31" s="289"/>
    </row>
    <row r="32" spans="1:4" ht="18.75">
      <c r="A32" s="290"/>
      <c r="B32" s="290"/>
      <c r="C32" s="290"/>
      <c r="D32" s="290"/>
    </row>
    <row r="33" spans="1:4" ht="18" customHeight="1">
      <c r="A33" s="291"/>
      <c r="B33" s="291"/>
      <c r="C33" s="291"/>
      <c r="D33" s="291"/>
    </row>
    <row r="34" spans="1:4">
      <c r="A34" s="292"/>
      <c r="B34" s="292"/>
      <c r="C34" s="292"/>
      <c r="D34" s="292"/>
    </row>
    <row r="35" spans="1:4" ht="8.25" customHeight="1">
      <c r="A35" s="292"/>
      <c r="B35" s="292"/>
      <c r="C35" s="292"/>
      <c r="D35" s="292"/>
    </row>
    <row r="36" spans="1:4" ht="25.5" customHeight="1">
      <c r="A36" s="289"/>
      <c r="B36" s="289"/>
      <c r="C36" s="289"/>
      <c r="D36" s="289"/>
    </row>
    <row r="37" spans="1:4" ht="18.75">
      <c r="A37" s="290"/>
      <c r="B37" s="290"/>
      <c r="C37" s="290"/>
      <c r="D37" s="290"/>
    </row>
    <row r="38" spans="1:4" ht="18" customHeight="1">
      <c r="A38" s="291"/>
      <c r="B38" s="291"/>
      <c r="C38" s="291"/>
      <c r="D38" s="291"/>
    </row>
    <row r="39" spans="1:4">
      <c r="A39" s="292"/>
      <c r="B39" s="292"/>
      <c r="C39" s="292"/>
      <c r="D39" s="292"/>
    </row>
    <row r="40" spans="1:4" ht="8.25" customHeight="1">
      <c r="A40" s="292"/>
      <c r="B40" s="292"/>
      <c r="C40" s="292"/>
      <c r="D40" s="292"/>
    </row>
    <row r="41" spans="1:4" ht="25.5" customHeight="1">
      <c r="A41" s="289"/>
      <c r="B41" s="289"/>
      <c r="C41" s="289"/>
      <c r="D41" s="289"/>
    </row>
    <row r="42" spans="1:4" ht="18.75">
      <c r="A42" s="290"/>
      <c r="B42" s="290"/>
      <c r="C42" s="290"/>
      <c r="D42" s="290"/>
    </row>
    <row r="43" spans="1:4" ht="18" customHeight="1">
      <c r="A43" s="291"/>
      <c r="B43" s="291"/>
      <c r="C43" s="291"/>
      <c r="D43" s="291"/>
    </row>
    <row r="44" spans="1:4">
      <c r="A44" s="292"/>
      <c r="B44" s="292"/>
      <c r="C44" s="292"/>
      <c r="D44" s="292"/>
    </row>
    <row r="45" spans="1:4" ht="8.25" customHeight="1">
      <c r="A45" s="292"/>
      <c r="B45" s="292"/>
      <c r="C45" s="292"/>
      <c r="D45" s="292"/>
    </row>
    <row r="46" spans="1:4" ht="25.5" customHeight="1">
      <c r="A46" s="289"/>
      <c r="B46" s="289"/>
      <c r="C46" s="289"/>
      <c r="D46" s="289"/>
    </row>
    <row r="47" spans="1:4" ht="18.75">
      <c r="A47" s="290"/>
      <c r="B47" s="290"/>
      <c r="C47" s="290"/>
      <c r="D47" s="290"/>
    </row>
    <row r="48" spans="1:4" ht="18" customHeight="1">
      <c r="A48" s="291"/>
      <c r="B48" s="291"/>
      <c r="C48" s="291"/>
      <c r="D48" s="291"/>
    </row>
    <row r="49" spans="1:4" ht="14.25" customHeight="1">
      <c r="A49" s="292"/>
      <c r="B49" s="291"/>
      <c r="C49" s="291"/>
      <c r="D49" s="291"/>
    </row>
    <row r="50" spans="1:4" ht="0.75" customHeight="1">
      <c r="A50" s="292"/>
      <c r="B50" s="292"/>
      <c r="C50" s="292"/>
      <c r="D50" s="292"/>
    </row>
    <row r="51" spans="1:4" ht="25.5" customHeight="1">
      <c r="A51" s="289"/>
      <c r="B51" s="289"/>
      <c r="C51" s="289"/>
      <c r="D51" s="289"/>
    </row>
    <row r="52" spans="1:4" ht="18.75">
      <c r="A52" s="290"/>
      <c r="B52" s="290"/>
      <c r="C52" s="290"/>
      <c r="D52" s="290"/>
    </row>
    <row r="53" spans="1:4" ht="18" customHeight="1">
      <c r="A53" s="291"/>
      <c r="B53" s="291"/>
      <c r="C53" s="291"/>
      <c r="D53" s="291"/>
    </row>
    <row r="54" spans="1:4">
      <c r="A54" s="292"/>
      <c r="B54" s="292"/>
      <c r="C54" s="292"/>
      <c r="D54" s="292"/>
    </row>
    <row r="55" spans="1:4" ht="7.5" customHeight="1">
      <c r="A55" s="294"/>
      <c r="B55" s="294"/>
      <c r="C55" s="294"/>
      <c r="D55" s="294"/>
    </row>
    <row r="56" spans="1:4" ht="25.5" customHeight="1">
      <c r="A56" s="289"/>
      <c r="B56" s="289"/>
      <c r="C56" s="289"/>
      <c r="D56" s="289"/>
    </row>
    <row r="57" spans="1:4" ht="18.75">
      <c r="A57" s="290"/>
      <c r="B57" s="290"/>
      <c r="C57" s="290"/>
      <c r="D57" s="290"/>
    </row>
    <row r="58" spans="1:4" ht="18" customHeight="1">
      <c r="A58" s="291"/>
      <c r="B58" s="291"/>
      <c r="C58" s="291"/>
      <c r="D58" s="291"/>
    </row>
    <row r="59" spans="1:4">
      <c r="A59" s="292"/>
      <c r="B59" s="292"/>
      <c r="C59" s="292"/>
      <c r="D59" s="292"/>
    </row>
    <row r="60" spans="1:4" ht="7.5" customHeight="1">
      <c r="A60" s="292"/>
      <c r="B60" s="292"/>
      <c r="C60" s="292"/>
      <c r="D60" s="292"/>
    </row>
    <row r="61" spans="1:4" ht="25.5" customHeight="1">
      <c r="A61" s="289"/>
      <c r="B61" s="289"/>
      <c r="C61" s="289"/>
      <c r="D61" s="289"/>
    </row>
    <row r="62" spans="1:4" ht="18.75">
      <c r="A62" s="290"/>
      <c r="B62" s="290"/>
      <c r="C62" s="290"/>
      <c r="D62" s="290"/>
    </row>
    <row r="63" spans="1:4" ht="18" customHeight="1">
      <c r="A63" s="291"/>
      <c r="B63" s="291"/>
      <c r="C63" s="291"/>
      <c r="D63" s="291"/>
    </row>
    <row r="64" spans="1:4">
      <c r="A64" s="292"/>
      <c r="B64" s="292"/>
      <c r="C64" s="292"/>
      <c r="D64" s="292"/>
    </row>
    <row r="65" spans="1:4" ht="7.5" customHeight="1">
      <c r="A65" s="292"/>
      <c r="B65" s="292"/>
      <c r="C65" s="292"/>
      <c r="D65" s="292"/>
    </row>
    <row r="66" spans="1:4" ht="25.5" customHeight="1">
      <c r="A66" s="289"/>
      <c r="B66" s="289"/>
      <c r="C66" s="289"/>
      <c r="D66" s="289"/>
    </row>
    <row r="67" spans="1:4" ht="18.75">
      <c r="A67" s="290"/>
      <c r="B67" s="290"/>
      <c r="C67" s="290"/>
      <c r="D67" s="290"/>
    </row>
    <row r="68" spans="1:4" ht="18" customHeight="1">
      <c r="A68" s="291"/>
      <c r="B68" s="291"/>
      <c r="C68" s="291"/>
      <c r="D68" s="291"/>
    </row>
    <row r="69" spans="1:4">
      <c r="A69" s="292"/>
      <c r="B69" s="292"/>
      <c r="C69" s="292"/>
      <c r="D69" s="292"/>
    </row>
    <row r="70" spans="1:4" ht="8.25" customHeight="1">
      <c r="A70" s="292"/>
      <c r="B70" s="292"/>
      <c r="C70" s="292"/>
      <c r="D70" s="292"/>
    </row>
    <row r="71" spans="1:4" ht="25.5" customHeight="1">
      <c r="A71" s="289"/>
      <c r="B71" s="289"/>
      <c r="C71" s="289"/>
      <c r="D71" s="289"/>
    </row>
    <row r="72" spans="1:4" ht="18.75">
      <c r="A72" s="290"/>
      <c r="B72" s="290"/>
      <c r="C72" s="290"/>
      <c r="D72" s="290"/>
    </row>
    <row r="73" spans="1:4" ht="18" customHeight="1">
      <c r="A73" s="291"/>
      <c r="B73" s="291"/>
      <c r="C73" s="291"/>
      <c r="D73" s="291"/>
    </row>
    <row r="74" spans="1:4">
      <c r="A74" s="292"/>
      <c r="B74" s="292"/>
      <c r="C74" s="292"/>
      <c r="D74" s="292"/>
    </row>
    <row r="75" spans="1:4" ht="9" customHeight="1">
      <c r="A75" s="292"/>
      <c r="B75" s="292"/>
      <c r="C75" s="292"/>
      <c r="D75" s="292"/>
    </row>
    <row r="76" spans="1:4" ht="25.5" customHeight="1">
      <c r="A76" s="289"/>
      <c r="B76" s="289"/>
      <c r="C76" s="289"/>
      <c r="D76" s="289"/>
    </row>
    <row r="77" spans="1:4" ht="18.75">
      <c r="A77" s="290"/>
      <c r="B77" s="290"/>
      <c r="C77" s="290"/>
      <c r="D77" s="290"/>
    </row>
    <row r="78" spans="1:4" ht="18" customHeight="1">
      <c r="A78" s="291"/>
      <c r="B78" s="291"/>
      <c r="C78" s="291"/>
      <c r="D78" s="291"/>
    </row>
    <row r="79" spans="1:4">
      <c r="A79" s="292"/>
      <c r="B79" s="292"/>
      <c r="C79" s="292"/>
      <c r="D79" s="292"/>
    </row>
    <row r="80" spans="1:4" ht="8.25" customHeight="1">
      <c r="A80" s="292"/>
      <c r="B80" s="292"/>
      <c r="C80" s="292"/>
      <c r="D80" s="292"/>
    </row>
    <row r="81" spans="1:4" ht="25.5" customHeight="1">
      <c r="A81" s="289"/>
      <c r="B81" s="289"/>
      <c r="C81" s="289"/>
      <c r="D81" s="289"/>
    </row>
    <row r="82" spans="1:4" ht="18.75">
      <c r="A82" s="290"/>
      <c r="B82" s="290"/>
      <c r="C82" s="290"/>
      <c r="D82" s="290"/>
    </row>
    <row r="83" spans="1:4" ht="18" customHeight="1">
      <c r="A83" s="291"/>
      <c r="B83" s="291"/>
      <c r="C83" s="291"/>
      <c r="D83" s="291"/>
    </row>
    <row r="84" spans="1:4">
      <c r="A84" s="292"/>
      <c r="B84" s="292"/>
      <c r="C84" s="292"/>
      <c r="D84" s="292"/>
    </row>
    <row r="85" spans="1:4" ht="8.25" customHeight="1">
      <c r="A85" s="292"/>
      <c r="B85" s="292"/>
      <c r="C85" s="292"/>
      <c r="D85" s="292"/>
    </row>
    <row r="86" spans="1:4" ht="25.5" customHeight="1">
      <c r="A86" s="289"/>
      <c r="B86" s="289"/>
      <c r="C86" s="289"/>
      <c r="D86" s="289"/>
    </row>
    <row r="87" spans="1:4" ht="18.75">
      <c r="A87" s="290"/>
      <c r="B87" s="290"/>
      <c r="C87" s="290"/>
      <c r="D87" s="290"/>
    </row>
    <row r="88" spans="1:4" ht="18" customHeight="1">
      <c r="A88" s="291"/>
      <c r="B88" s="291"/>
      <c r="C88" s="291"/>
      <c r="D88" s="291"/>
    </row>
    <row r="89" spans="1:4">
      <c r="A89" s="292"/>
      <c r="B89" s="292"/>
      <c r="C89" s="292"/>
      <c r="D89" s="292"/>
    </row>
    <row r="90" spans="1:4" ht="8.25" customHeight="1">
      <c r="A90" s="292"/>
      <c r="B90" s="292"/>
      <c r="C90" s="292"/>
      <c r="D90" s="292"/>
    </row>
    <row r="91" spans="1:4" ht="25.5" customHeight="1">
      <c r="A91" s="289"/>
      <c r="B91" s="289"/>
      <c r="C91" s="289"/>
      <c r="D91" s="289"/>
    </row>
    <row r="92" spans="1:4" ht="18.75">
      <c r="A92" s="290"/>
      <c r="B92" s="290"/>
      <c r="C92" s="290"/>
      <c r="D92" s="290"/>
    </row>
    <row r="93" spans="1:4" ht="18" customHeight="1">
      <c r="A93" s="291"/>
      <c r="B93" s="291"/>
      <c r="C93" s="291"/>
      <c r="D93" s="291"/>
    </row>
    <row r="94" spans="1:4">
      <c r="A94" s="292"/>
      <c r="B94" s="292"/>
      <c r="C94" s="292"/>
      <c r="D94" s="292"/>
    </row>
    <row r="95" spans="1:4" ht="8.25" customHeight="1">
      <c r="A95" s="292"/>
      <c r="B95" s="292"/>
      <c r="C95" s="292"/>
      <c r="D95" s="292"/>
    </row>
    <row r="96" spans="1:4" ht="25.5" customHeight="1">
      <c r="A96" s="289"/>
      <c r="B96" s="289"/>
      <c r="C96" s="289"/>
      <c r="D96" s="289"/>
    </row>
    <row r="97" spans="1:4" ht="18.75">
      <c r="A97" s="290"/>
      <c r="B97" s="290"/>
      <c r="C97" s="290"/>
      <c r="D97" s="290"/>
    </row>
    <row r="98" spans="1:4" ht="18" customHeight="1">
      <c r="A98" s="291"/>
      <c r="B98" s="291"/>
      <c r="C98" s="291"/>
      <c r="D98" s="291"/>
    </row>
    <row r="99" spans="1:4" ht="14.25" customHeight="1">
      <c r="A99" s="292"/>
      <c r="B99" s="291"/>
      <c r="C99" s="291"/>
      <c r="D99" s="291"/>
    </row>
    <row r="100" spans="1:4" ht="0.75" customHeight="1">
      <c r="A100" s="292"/>
      <c r="B100" s="292"/>
      <c r="C100" s="292"/>
      <c r="D100" s="292"/>
    </row>
    <row r="101" spans="1:4" ht="25.5" customHeight="1">
      <c r="A101" s="289"/>
      <c r="B101" s="289"/>
      <c r="C101" s="289"/>
      <c r="D101" s="289"/>
    </row>
    <row r="102" spans="1:4" ht="18.75">
      <c r="A102" s="290"/>
      <c r="B102" s="290"/>
      <c r="C102" s="290"/>
      <c r="D102" s="290"/>
    </row>
    <row r="103" spans="1:4" ht="18" customHeight="1">
      <c r="A103" s="291"/>
      <c r="B103" s="291"/>
      <c r="C103" s="291"/>
      <c r="D103" s="291"/>
    </row>
    <row r="104" spans="1:4">
      <c r="A104" s="292"/>
      <c r="B104" s="292"/>
      <c r="C104" s="292"/>
      <c r="D104" s="292"/>
    </row>
    <row r="105" spans="1:4" ht="7.5" customHeight="1">
      <c r="A105" s="294"/>
      <c r="B105" s="294"/>
      <c r="C105" s="294"/>
      <c r="D105" s="294"/>
    </row>
    <row r="106" spans="1:4" ht="25.5" customHeight="1">
      <c r="A106" s="289"/>
      <c r="B106" s="289"/>
      <c r="C106" s="289"/>
      <c r="D106" s="289"/>
    </row>
    <row r="107" spans="1:4" ht="18.75">
      <c r="A107" s="290"/>
      <c r="B107" s="290"/>
      <c r="C107" s="290"/>
      <c r="D107" s="290"/>
    </row>
    <row r="108" spans="1:4" ht="18" customHeight="1">
      <c r="A108" s="291"/>
      <c r="B108" s="291"/>
      <c r="C108" s="291"/>
      <c r="D108" s="291"/>
    </row>
    <row r="109" spans="1:4">
      <c r="A109" s="292"/>
      <c r="B109" s="292"/>
      <c r="C109" s="292"/>
      <c r="D109" s="292"/>
    </row>
    <row r="110" spans="1:4" ht="7.5" customHeight="1">
      <c r="A110" s="292"/>
      <c r="B110" s="292"/>
      <c r="C110" s="292"/>
      <c r="D110" s="292"/>
    </row>
    <row r="111" spans="1:4" ht="25.5" customHeight="1">
      <c r="A111" s="289"/>
      <c r="B111" s="289"/>
      <c r="C111" s="289"/>
      <c r="D111" s="289"/>
    </row>
    <row r="112" spans="1:4" ht="18.75">
      <c r="A112" s="290"/>
      <c r="B112" s="290"/>
      <c r="C112" s="290"/>
      <c r="D112" s="290"/>
    </row>
    <row r="113" spans="1:4" ht="18" customHeight="1">
      <c r="A113" s="291"/>
      <c r="B113" s="291"/>
      <c r="C113" s="291"/>
      <c r="D113" s="291"/>
    </row>
    <row r="114" spans="1:4">
      <c r="A114" s="292"/>
      <c r="B114" s="292"/>
      <c r="C114" s="292"/>
      <c r="D114" s="292"/>
    </row>
    <row r="115" spans="1:4" ht="7.5" customHeight="1">
      <c r="A115" s="292"/>
      <c r="B115" s="292"/>
      <c r="C115" s="292"/>
      <c r="D115" s="292"/>
    </row>
    <row r="116" spans="1:4" ht="25.5" customHeight="1">
      <c r="A116" s="289"/>
      <c r="B116" s="289"/>
      <c r="C116" s="289"/>
      <c r="D116" s="289"/>
    </row>
    <row r="117" spans="1:4" ht="18.75">
      <c r="A117" s="290"/>
      <c r="B117" s="290"/>
      <c r="C117" s="290"/>
      <c r="D117" s="290"/>
    </row>
    <row r="118" spans="1:4" ht="18" customHeight="1">
      <c r="A118" s="291"/>
      <c r="B118" s="291"/>
      <c r="C118" s="291"/>
      <c r="D118" s="291"/>
    </row>
    <row r="119" spans="1:4">
      <c r="A119" s="292"/>
      <c r="B119" s="292"/>
      <c r="C119" s="292"/>
      <c r="D119" s="292"/>
    </row>
    <row r="120" spans="1:4" ht="8.25" customHeight="1">
      <c r="A120" s="292"/>
      <c r="B120" s="292"/>
      <c r="C120" s="292"/>
      <c r="D120" s="292"/>
    </row>
    <row r="121" spans="1:4" ht="25.5" customHeight="1">
      <c r="A121" s="289"/>
      <c r="B121" s="289"/>
      <c r="C121" s="289"/>
      <c r="D121" s="289"/>
    </row>
    <row r="122" spans="1:4" ht="18.75">
      <c r="A122" s="290"/>
      <c r="B122" s="290"/>
      <c r="C122" s="290"/>
      <c r="D122" s="290"/>
    </row>
    <row r="123" spans="1:4" ht="18" customHeight="1">
      <c r="A123" s="291"/>
      <c r="B123" s="291"/>
      <c r="C123" s="291"/>
      <c r="D123" s="291"/>
    </row>
    <row r="124" spans="1:4">
      <c r="A124" s="292"/>
      <c r="B124" s="292"/>
      <c r="C124" s="292"/>
      <c r="D124" s="292"/>
    </row>
    <row r="125" spans="1:4" ht="9" customHeight="1">
      <c r="A125" s="292"/>
      <c r="B125" s="292"/>
      <c r="C125" s="292"/>
      <c r="D125" s="292"/>
    </row>
    <row r="126" spans="1:4" ht="25.5" customHeight="1">
      <c r="A126" s="289"/>
      <c r="B126" s="289"/>
      <c r="C126" s="289"/>
      <c r="D126" s="289"/>
    </row>
    <row r="127" spans="1:4" ht="18.75">
      <c r="A127" s="290"/>
      <c r="B127" s="290"/>
      <c r="C127" s="290"/>
      <c r="D127" s="290"/>
    </row>
    <row r="128" spans="1:4" ht="18" customHeight="1">
      <c r="A128" s="291"/>
      <c r="B128" s="291"/>
      <c r="C128" s="291"/>
      <c r="D128" s="291"/>
    </row>
    <row r="129" spans="1:4">
      <c r="A129" s="292"/>
      <c r="B129" s="292"/>
      <c r="C129" s="292"/>
      <c r="D129" s="292"/>
    </row>
    <row r="130" spans="1:4" ht="8.25" customHeight="1">
      <c r="A130" s="292"/>
      <c r="B130" s="292"/>
      <c r="C130" s="292"/>
      <c r="D130" s="292"/>
    </row>
    <row r="131" spans="1:4" ht="25.5" customHeight="1">
      <c r="A131" s="289"/>
      <c r="B131" s="289"/>
      <c r="C131" s="289"/>
      <c r="D131" s="289"/>
    </row>
    <row r="132" spans="1:4" ht="18.75">
      <c r="A132" s="290"/>
      <c r="B132" s="290"/>
      <c r="C132" s="290"/>
      <c r="D132" s="290"/>
    </row>
    <row r="133" spans="1:4" ht="18" customHeight="1">
      <c r="A133" s="291"/>
      <c r="B133" s="291"/>
      <c r="C133" s="291"/>
      <c r="D133" s="291"/>
    </row>
    <row r="134" spans="1:4">
      <c r="A134" s="292"/>
      <c r="B134" s="292"/>
      <c r="C134" s="292"/>
      <c r="D134" s="292"/>
    </row>
    <row r="135" spans="1:4" ht="8.25" customHeight="1">
      <c r="A135" s="292"/>
      <c r="B135" s="292"/>
      <c r="C135" s="292"/>
      <c r="D135" s="292"/>
    </row>
    <row r="136" spans="1:4" ht="25.5" customHeight="1">
      <c r="A136" s="289"/>
      <c r="B136" s="289"/>
      <c r="C136" s="289"/>
      <c r="D136" s="289"/>
    </row>
    <row r="137" spans="1:4" ht="18.75">
      <c r="A137" s="290"/>
      <c r="B137" s="290"/>
      <c r="C137" s="290"/>
      <c r="D137" s="290"/>
    </row>
    <row r="138" spans="1:4" ht="18" customHeight="1">
      <c r="A138" s="291"/>
      <c r="B138" s="291"/>
      <c r="C138" s="291"/>
      <c r="D138" s="291"/>
    </row>
    <row r="139" spans="1:4">
      <c r="A139" s="292"/>
      <c r="B139" s="292"/>
      <c r="C139" s="292"/>
      <c r="D139" s="292"/>
    </row>
    <row r="140" spans="1:4" ht="8.25" customHeight="1">
      <c r="A140" s="292"/>
      <c r="B140" s="292"/>
      <c r="C140" s="292"/>
      <c r="D140" s="292"/>
    </row>
    <row r="141" spans="1:4" ht="25.5" customHeight="1">
      <c r="A141" s="289"/>
      <c r="B141" s="289"/>
      <c r="C141" s="289"/>
      <c r="D141" s="289"/>
    </row>
    <row r="142" spans="1:4" ht="18.75">
      <c r="A142" s="290"/>
      <c r="B142" s="290"/>
      <c r="C142" s="290"/>
      <c r="D142" s="290"/>
    </row>
    <row r="143" spans="1:4" ht="18" customHeight="1">
      <c r="A143" s="291"/>
      <c r="B143" s="291"/>
      <c r="C143" s="291"/>
      <c r="D143" s="291"/>
    </row>
    <row r="144" spans="1:4">
      <c r="A144" s="292"/>
      <c r="B144" s="292"/>
      <c r="C144" s="292"/>
      <c r="D144" s="292"/>
    </row>
    <row r="145" spans="1:4" ht="8.25" customHeight="1">
      <c r="A145" s="292"/>
      <c r="B145" s="292"/>
      <c r="C145" s="292"/>
      <c r="D145" s="292"/>
    </row>
    <row r="146" spans="1:4" ht="25.5" customHeight="1">
      <c r="A146" s="289"/>
      <c r="B146" s="289"/>
      <c r="C146" s="289"/>
      <c r="D146" s="289"/>
    </row>
    <row r="147" spans="1:4" ht="18.75">
      <c r="A147" s="290"/>
      <c r="B147" s="290"/>
      <c r="C147" s="290"/>
      <c r="D147" s="290"/>
    </row>
    <row r="148" spans="1:4" ht="18" customHeight="1">
      <c r="A148" s="291"/>
      <c r="B148" s="291"/>
      <c r="C148" s="291"/>
      <c r="D148" s="291"/>
    </row>
    <row r="149" spans="1:4" ht="14.25" customHeight="1">
      <c r="A149" s="292"/>
      <c r="B149" s="291"/>
      <c r="C149" s="291"/>
      <c r="D149" s="291"/>
    </row>
    <row r="150" spans="1:4" ht="0.75" customHeight="1">
      <c r="A150" s="292"/>
      <c r="B150" s="292"/>
      <c r="C150" s="292"/>
      <c r="D150" s="292"/>
    </row>
    <row r="151" spans="1:4" ht="25.5" customHeight="1">
      <c r="A151" s="289"/>
      <c r="B151" s="289"/>
      <c r="C151" s="289"/>
      <c r="D151" s="289"/>
    </row>
    <row r="152" spans="1:4" ht="18.75">
      <c r="A152" s="290"/>
      <c r="B152" s="290"/>
      <c r="C152" s="290"/>
      <c r="D152" s="290"/>
    </row>
    <row r="153" spans="1:4" ht="18" customHeight="1">
      <c r="A153" s="291"/>
      <c r="B153" s="291"/>
      <c r="C153" s="291"/>
      <c r="D153" s="291"/>
    </row>
    <row r="154" spans="1:4">
      <c r="A154" s="292"/>
      <c r="B154" s="292"/>
      <c r="C154" s="292"/>
      <c r="D154" s="292"/>
    </row>
    <row r="155" spans="1:4" ht="7.5" customHeight="1">
      <c r="A155" s="294"/>
      <c r="B155" s="294"/>
      <c r="C155" s="294"/>
      <c r="D155" s="294"/>
    </row>
    <row r="156" spans="1:4" ht="25.5" customHeight="1">
      <c r="A156" s="289"/>
      <c r="B156" s="289"/>
      <c r="C156" s="289"/>
      <c r="D156" s="289"/>
    </row>
    <row r="157" spans="1:4" ht="18.75">
      <c r="A157" s="290"/>
      <c r="B157" s="290"/>
      <c r="C157" s="290"/>
      <c r="D157" s="290"/>
    </row>
    <row r="158" spans="1:4" ht="18" customHeight="1">
      <c r="A158" s="291"/>
      <c r="B158" s="291"/>
      <c r="C158" s="291"/>
      <c r="D158" s="291"/>
    </row>
    <row r="159" spans="1:4">
      <c r="A159" s="292"/>
      <c r="B159" s="292"/>
      <c r="C159" s="292"/>
      <c r="D159" s="292"/>
    </row>
    <row r="160" spans="1:4" ht="7.5" customHeight="1">
      <c r="A160" s="292"/>
      <c r="B160" s="292"/>
      <c r="C160" s="292"/>
      <c r="D160" s="292"/>
    </row>
    <row r="161" spans="1:4" ht="25.5" customHeight="1">
      <c r="A161" s="289"/>
      <c r="B161" s="289"/>
      <c r="C161" s="289"/>
      <c r="D161" s="289"/>
    </row>
    <row r="162" spans="1:4" ht="18.75">
      <c r="A162" s="290"/>
      <c r="B162" s="290"/>
      <c r="C162" s="290"/>
      <c r="D162" s="290"/>
    </row>
    <row r="163" spans="1:4" ht="18" customHeight="1">
      <c r="A163" s="291"/>
      <c r="B163" s="291"/>
      <c r="C163" s="291"/>
      <c r="D163" s="291"/>
    </row>
    <row r="164" spans="1:4">
      <c r="A164" s="292"/>
      <c r="B164" s="292"/>
      <c r="C164" s="292"/>
      <c r="D164" s="292"/>
    </row>
    <row r="165" spans="1:4" ht="7.5" customHeight="1">
      <c r="A165" s="292"/>
      <c r="B165" s="292"/>
      <c r="C165" s="292"/>
      <c r="D165" s="292"/>
    </row>
    <row r="166" spans="1:4" ht="25.5" customHeight="1">
      <c r="A166" s="289"/>
      <c r="B166" s="289"/>
      <c r="C166" s="289"/>
      <c r="D166" s="289"/>
    </row>
    <row r="167" spans="1:4" ht="18.75">
      <c r="A167" s="290"/>
      <c r="B167" s="290"/>
      <c r="C167" s="290"/>
      <c r="D167" s="290"/>
    </row>
    <row r="168" spans="1:4" ht="18" customHeight="1">
      <c r="A168" s="291"/>
      <c r="B168" s="291"/>
      <c r="C168" s="291"/>
      <c r="D168" s="291"/>
    </row>
    <row r="169" spans="1:4">
      <c r="A169" s="292"/>
      <c r="B169" s="292"/>
      <c r="C169" s="292"/>
      <c r="D169" s="292"/>
    </row>
    <row r="170" spans="1:4" ht="8.25" customHeight="1">
      <c r="A170" s="292"/>
      <c r="B170" s="292"/>
      <c r="C170" s="292"/>
      <c r="D170" s="292"/>
    </row>
    <row r="171" spans="1:4" ht="25.5" customHeight="1">
      <c r="A171" s="289"/>
      <c r="B171" s="289"/>
      <c r="C171" s="289"/>
      <c r="D171" s="289"/>
    </row>
    <row r="172" spans="1:4" ht="18.75">
      <c r="A172" s="290"/>
      <c r="B172" s="290"/>
      <c r="C172" s="290"/>
      <c r="D172" s="290"/>
    </row>
    <row r="173" spans="1:4" ht="18" customHeight="1">
      <c r="A173" s="291"/>
      <c r="B173" s="291"/>
      <c r="C173" s="291"/>
      <c r="D173" s="291"/>
    </row>
    <row r="174" spans="1:4">
      <c r="A174" s="292"/>
      <c r="B174" s="292"/>
      <c r="C174" s="292"/>
      <c r="D174" s="292"/>
    </row>
    <row r="175" spans="1:4" ht="9" customHeight="1">
      <c r="A175" s="292"/>
      <c r="B175" s="292"/>
      <c r="C175" s="292"/>
      <c r="D175" s="292"/>
    </row>
    <row r="176" spans="1:4" ht="25.5" customHeight="1">
      <c r="A176" s="289"/>
      <c r="B176" s="289"/>
      <c r="C176" s="289"/>
      <c r="D176" s="289"/>
    </row>
    <row r="177" spans="1:4" ht="18.75">
      <c r="A177" s="290"/>
      <c r="B177" s="290"/>
      <c r="C177" s="290"/>
      <c r="D177" s="290"/>
    </row>
    <row r="178" spans="1:4" ht="18" customHeight="1">
      <c r="A178" s="291"/>
      <c r="B178" s="291"/>
      <c r="C178" s="291"/>
      <c r="D178" s="291"/>
    </row>
    <row r="179" spans="1:4">
      <c r="A179" s="292"/>
      <c r="B179" s="292"/>
      <c r="C179" s="292"/>
      <c r="D179" s="292"/>
    </row>
    <row r="180" spans="1:4" ht="8.25" customHeight="1">
      <c r="A180" s="292"/>
      <c r="B180" s="292"/>
      <c r="C180" s="292"/>
      <c r="D180" s="292"/>
    </row>
    <row r="181" spans="1:4" ht="25.5" customHeight="1">
      <c r="A181" s="289"/>
      <c r="B181" s="289"/>
      <c r="C181" s="289"/>
      <c r="D181" s="289"/>
    </row>
    <row r="182" spans="1:4" ht="18.75">
      <c r="A182" s="290"/>
      <c r="B182" s="290"/>
      <c r="C182" s="290"/>
      <c r="D182" s="290"/>
    </row>
    <row r="183" spans="1:4" ht="18" customHeight="1">
      <c r="A183" s="291"/>
      <c r="B183" s="291"/>
      <c r="C183" s="291"/>
      <c r="D183" s="291"/>
    </row>
    <row r="184" spans="1:4">
      <c r="A184" s="292"/>
      <c r="B184" s="292"/>
      <c r="C184" s="292"/>
      <c r="D184" s="292"/>
    </row>
    <row r="185" spans="1:4" ht="8.25" customHeight="1">
      <c r="A185" s="292"/>
      <c r="B185" s="292"/>
      <c r="C185" s="292"/>
      <c r="D185" s="292"/>
    </row>
    <row r="186" spans="1:4" ht="25.5" customHeight="1">
      <c r="A186" s="289"/>
      <c r="B186" s="289"/>
      <c r="C186" s="289"/>
      <c r="D186" s="289"/>
    </row>
    <row r="187" spans="1:4" ht="18.75">
      <c r="A187" s="290"/>
      <c r="B187" s="290"/>
      <c r="C187" s="290"/>
      <c r="D187" s="290"/>
    </row>
    <row r="188" spans="1:4" ht="18" customHeight="1">
      <c r="A188" s="291"/>
      <c r="B188" s="291"/>
      <c r="C188" s="291"/>
      <c r="D188" s="291"/>
    </row>
    <row r="189" spans="1:4">
      <c r="A189" s="292"/>
      <c r="B189" s="292"/>
      <c r="C189" s="292"/>
      <c r="D189" s="292"/>
    </row>
    <row r="190" spans="1:4" ht="8.25" customHeight="1">
      <c r="A190" s="292"/>
      <c r="B190" s="292"/>
      <c r="C190" s="292"/>
      <c r="D190" s="292"/>
    </row>
    <row r="191" spans="1:4" ht="25.5" customHeight="1">
      <c r="A191" s="289"/>
      <c r="B191" s="289"/>
      <c r="C191" s="289"/>
      <c r="D191" s="289"/>
    </row>
    <row r="192" spans="1:4" ht="18.75">
      <c r="A192" s="290"/>
      <c r="B192" s="290"/>
      <c r="C192" s="290"/>
      <c r="D192" s="290"/>
    </row>
    <row r="193" spans="1:4" ht="18" customHeight="1">
      <c r="A193" s="291"/>
      <c r="B193" s="291"/>
      <c r="C193" s="291"/>
      <c r="D193" s="291"/>
    </row>
    <row r="194" spans="1:4">
      <c r="A194" s="292"/>
      <c r="B194" s="292"/>
      <c r="C194" s="292"/>
      <c r="D194" s="292"/>
    </row>
    <row r="195" spans="1:4" ht="8.25" customHeight="1">
      <c r="A195" s="292"/>
      <c r="B195" s="292"/>
      <c r="C195" s="292"/>
      <c r="D195" s="292"/>
    </row>
    <row r="196" spans="1:4" ht="25.5" customHeight="1">
      <c r="A196" s="289"/>
      <c r="B196" s="289"/>
      <c r="C196" s="289"/>
      <c r="D196" s="289"/>
    </row>
    <row r="197" spans="1:4" ht="18.75">
      <c r="A197" s="290"/>
      <c r="B197" s="290"/>
      <c r="C197" s="290"/>
      <c r="D197" s="290"/>
    </row>
    <row r="198" spans="1:4" ht="18" customHeight="1">
      <c r="A198" s="291"/>
      <c r="B198" s="291"/>
      <c r="C198" s="291"/>
      <c r="D198" s="291"/>
    </row>
    <row r="199" spans="1:4" ht="14.25" customHeight="1">
      <c r="A199" s="292"/>
      <c r="B199" s="291"/>
      <c r="C199" s="291"/>
      <c r="D199" s="291"/>
    </row>
    <row r="200" spans="1:4" ht="0.75" customHeight="1">
      <c r="A200" s="292"/>
      <c r="B200" s="292"/>
      <c r="C200" s="292"/>
      <c r="D200" s="292"/>
    </row>
    <row r="201" spans="1:4" ht="25.5" customHeight="1">
      <c r="A201" s="289"/>
      <c r="B201" s="289"/>
      <c r="C201" s="289"/>
      <c r="D201" s="289"/>
    </row>
    <row r="202" spans="1:4" ht="18.75">
      <c r="A202" s="290"/>
      <c r="B202" s="290"/>
      <c r="C202" s="290"/>
      <c r="D202" s="290"/>
    </row>
    <row r="203" spans="1:4" ht="18" customHeight="1">
      <c r="A203" s="291"/>
      <c r="B203" s="291"/>
      <c r="C203" s="291"/>
      <c r="D203" s="291"/>
    </row>
    <row r="204" spans="1:4">
      <c r="A204" s="292"/>
      <c r="B204" s="292"/>
      <c r="C204" s="292"/>
      <c r="D204" s="292"/>
    </row>
    <row r="205" spans="1:4" ht="7.5" customHeight="1">
      <c r="A205" s="294"/>
      <c r="B205" s="294"/>
      <c r="C205" s="294"/>
      <c r="D205" s="294"/>
    </row>
    <row r="206" spans="1:4" ht="25.5" customHeight="1">
      <c r="A206" s="289"/>
      <c r="B206" s="289"/>
      <c r="C206" s="289"/>
      <c r="D206" s="289"/>
    </row>
    <row r="207" spans="1:4" ht="18.75">
      <c r="A207" s="290"/>
      <c r="B207" s="290"/>
      <c r="C207" s="290"/>
      <c r="D207" s="290"/>
    </row>
    <row r="208" spans="1:4" ht="18" customHeight="1">
      <c r="A208" s="291"/>
      <c r="B208" s="291"/>
      <c r="C208" s="291"/>
      <c r="D208" s="291"/>
    </row>
    <row r="209" spans="1:4">
      <c r="A209" s="292"/>
      <c r="B209" s="292"/>
      <c r="C209" s="292"/>
      <c r="D209" s="292"/>
    </row>
    <row r="210" spans="1:4" ht="7.5" customHeight="1">
      <c r="A210" s="292"/>
      <c r="B210" s="292"/>
      <c r="C210" s="292"/>
      <c r="D210" s="292"/>
    </row>
    <row r="211" spans="1:4" ht="25.5" customHeight="1">
      <c r="A211" s="289"/>
      <c r="B211" s="289"/>
      <c r="C211" s="289"/>
      <c r="D211" s="289"/>
    </row>
    <row r="212" spans="1:4" ht="18.75">
      <c r="A212" s="290"/>
      <c r="B212" s="290"/>
      <c r="C212" s="290"/>
      <c r="D212" s="290"/>
    </row>
    <row r="213" spans="1:4" ht="18" customHeight="1">
      <c r="A213" s="291"/>
      <c r="B213" s="291"/>
      <c r="C213" s="291"/>
      <c r="D213" s="291"/>
    </row>
    <row r="214" spans="1:4">
      <c r="A214" s="292"/>
      <c r="B214" s="292"/>
      <c r="C214" s="292"/>
      <c r="D214" s="292"/>
    </row>
    <row r="215" spans="1:4" ht="7.5" customHeight="1">
      <c r="A215" s="292"/>
      <c r="B215" s="292"/>
      <c r="C215" s="292"/>
      <c r="D215" s="292"/>
    </row>
    <row r="216" spans="1:4" ht="25.5" customHeight="1">
      <c r="A216" s="289"/>
      <c r="B216" s="289"/>
      <c r="C216" s="289"/>
      <c r="D216" s="289"/>
    </row>
    <row r="217" spans="1:4" ht="18.75">
      <c r="A217" s="290"/>
      <c r="B217" s="290"/>
      <c r="C217" s="290"/>
      <c r="D217" s="290"/>
    </row>
    <row r="218" spans="1:4" ht="18" customHeight="1">
      <c r="A218" s="291"/>
      <c r="B218" s="291"/>
      <c r="C218" s="291"/>
      <c r="D218" s="291"/>
    </row>
    <row r="219" spans="1:4">
      <c r="A219" s="292"/>
      <c r="B219" s="292"/>
      <c r="C219" s="292"/>
      <c r="D219" s="292"/>
    </row>
    <row r="220" spans="1:4" ht="8.25" customHeight="1">
      <c r="A220" s="292"/>
      <c r="B220" s="292"/>
      <c r="C220" s="292"/>
      <c r="D220" s="292"/>
    </row>
    <row r="221" spans="1:4" ht="25.5" customHeight="1">
      <c r="A221" s="289"/>
      <c r="B221" s="289"/>
      <c r="C221" s="289"/>
      <c r="D221" s="289"/>
    </row>
    <row r="222" spans="1:4" ht="18.75">
      <c r="A222" s="290"/>
      <c r="B222" s="290"/>
      <c r="C222" s="290"/>
      <c r="D222" s="290"/>
    </row>
    <row r="223" spans="1:4" ht="18" customHeight="1">
      <c r="A223" s="291"/>
      <c r="B223" s="291"/>
      <c r="C223" s="291"/>
      <c r="D223" s="291"/>
    </row>
    <row r="224" spans="1:4">
      <c r="A224" s="292"/>
      <c r="B224" s="292"/>
      <c r="C224" s="292"/>
      <c r="D224" s="292"/>
    </row>
    <row r="225" spans="1:4" ht="9" customHeight="1">
      <c r="A225" s="292"/>
      <c r="B225" s="292"/>
      <c r="C225" s="292"/>
      <c r="D225" s="292"/>
    </row>
    <row r="226" spans="1:4" ht="25.5" customHeight="1">
      <c r="A226" s="289"/>
      <c r="B226" s="289"/>
      <c r="C226" s="289"/>
      <c r="D226" s="289"/>
    </row>
    <row r="227" spans="1:4" ht="18.75">
      <c r="A227" s="290"/>
      <c r="B227" s="290"/>
      <c r="C227" s="290"/>
      <c r="D227" s="290"/>
    </row>
    <row r="228" spans="1:4" ht="18" customHeight="1">
      <c r="A228" s="291"/>
      <c r="B228" s="291"/>
      <c r="C228" s="291"/>
      <c r="D228" s="291"/>
    </row>
    <row r="229" spans="1:4">
      <c r="A229" s="292"/>
      <c r="B229" s="292"/>
      <c r="C229" s="292"/>
      <c r="D229" s="292"/>
    </row>
    <row r="230" spans="1:4" ht="8.25" customHeight="1">
      <c r="A230" s="292"/>
      <c r="B230" s="292"/>
      <c r="C230" s="292"/>
      <c r="D230" s="292"/>
    </row>
    <row r="231" spans="1:4" ht="25.5" customHeight="1">
      <c r="A231" s="289"/>
      <c r="B231" s="289"/>
      <c r="C231" s="289"/>
      <c r="D231" s="289"/>
    </row>
    <row r="232" spans="1:4" ht="18.75">
      <c r="A232" s="290"/>
      <c r="B232" s="290"/>
      <c r="C232" s="290"/>
      <c r="D232" s="290"/>
    </row>
    <row r="233" spans="1:4" ht="18" customHeight="1">
      <c r="A233" s="291"/>
      <c r="B233" s="291"/>
      <c r="C233" s="291"/>
      <c r="D233" s="291"/>
    </row>
    <row r="234" spans="1:4">
      <c r="A234" s="292"/>
      <c r="B234" s="292"/>
      <c r="C234" s="292"/>
      <c r="D234" s="292"/>
    </row>
    <row r="235" spans="1:4" ht="8.25" customHeight="1">
      <c r="A235" s="292"/>
      <c r="B235" s="292"/>
      <c r="C235" s="292"/>
      <c r="D235" s="292"/>
    </row>
    <row r="236" spans="1:4" ht="25.5" customHeight="1">
      <c r="A236" s="289"/>
      <c r="B236" s="289"/>
      <c r="C236" s="289"/>
      <c r="D236" s="289"/>
    </row>
    <row r="237" spans="1:4" ht="18.75">
      <c r="A237" s="290"/>
      <c r="B237" s="290"/>
      <c r="C237" s="290"/>
      <c r="D237" s="290"/>
    </row>
    <row r="238" spans="1:4" ht="18" customHeight="1">
      <c r="A238" s="291"/>
      <c r="B238" s="291"/>
      <c r="C238" s="291"/>
      <c r="D238" s="291"/>
    </row>
    <row r="239" spans="1:4">
      <c r="A239" s="292"/>
      <c r="B239" s="292"/>
      <c r="C239" s="292"/>
      <c r="D239" s="292"/>
    </row>
    <row r="240" spans="1:4" ht="8.25" customHeight="1">
      <c r="A240" s="292"/>
      <c r="B240" s="292"/>
      <c r="C240" s="292"/>
      <c r="D240" s="292"/>
    </row>
    <row r="241" spans="1:4" ht="25.5" customHeight="1">
      <c r="A241" s="289"/>
      <c r="B241" s="289"/>
      <c r="C241" s="289"/>
      <c r="D241" s="289"/>
    </row>
    <row r="242" spans="1:4" ht="18.75">
      <c r="A242" s="290"/>
      <c r="B242" s="290"/>
      <c r="C242" s="290"/>
      <c r="D242" s="290"/>
    </row>
    <row r="243" spans="1:4" ht="18" customHeight="1">
      <c r="A243" s="291"/>
      <c r="B243" s="291"/>
      <c r="C243" s="291"/>
      <c r="D243" s="291"/>
    </row>
    <row r="244" spans="1:4">
      <c r="A244" s="292"/>
      <c r="B244" s="292"/>
      <c r="C244" s="292"/>
      <c r="D244" s="292"/>
    </row>
    <row r="245" spans="1:4" ht="8.25" customHeight="1">
      <c r="A245" s="292"/>
      <c r="B245" s="292"/>
      <c r="C245" s="292"/>
      <c r="D245" s="292"/>
    </row>
    <row r="246" spans="1:4" ht="25.5" customHeight="1">
      <c r="A246" s="289"/>
      <c r="B246" s="289"/>
      <c r="C246" s="289"/>
      <c r="D246" s="289"/>
    </row>
    <row r="247" spans="1:4" ht="18.75">
      <c r="A247" s="290"/>
      <c r="B247" s="290"/>
      <c r="C247" s="290"/>
      <c r="D247" s="290"/>
    </row>
    <row r="248" spans="1:4" ht="18" customHeight="1">
      <c r="A248" s="291"/>
      <c r="B248" s="291"/>
      <c r="C248" s="291"/>
      <c r="D248" s="291"/>
    </row>
    <row r="249" spans="1:4" ht="14.25" customHeight="1">
      <c r="A249" s="292"/>
      <c r="B249" s="291"/>
      <c r="C249" s="291"/>
      <c r="D249" s="291"/>
    </row>
    <row r="250" spans="1:4" ht="0.75" customHeight="1">
      <c r="A250" s="292"/>
      <c r="B250" s="292"/>
      <c r="C250" s="292"/>
      <c r="D250" s="292"/>
    </row>
    <row r="251" spans="1:4" ht="25.5" customHeight="1">
      <c r="A251" s="289"/>
      <c r="B251" s="289"/>
      <c r="C251" s="289"/>
      <c r="D251" s="289"/>
    </row>
    <row r="252" spans="1:4" ht="18.75">
      <c r="A252" s="290"/>
      <c r="B252" s="290"/>
      <c r="C252" s="290"/>
      <c r="D252" s="290"/>
    </row>
    <row r="253" spans="1:4" ht="18" customHeight="1">
      <c r="A253" s="291"/>
      <c r="B253" s="291"/>
      <c r="C253" s="291"/>
      <c r="D253" s="291"/>
    </row>
    <row r="254" spans="1:4">
      <c r="A254" s="292"/>
      <c r="B254" s="292"/>
      <c r="C254" s="292"/>
      <c r="D254" s="292"/>
    </row>
    <row r="255" spans="1:4" ht="7.5" customHeight="1">
      <c r="A255" s="294"/>
      <c r="B255" s="294"/>
      <c r="C255" s="294"/>
      <c r="D255" s="294"/>
    </row>
    <row r="256" spans="1:4" ht="25.5" customHeight="1">
      <c r="A256" s="289"/>
      <c r="B256" s="289"/>
      <c r="C256" s="289"/>
      <c r="D256" s="289"/>
    </row>
    <row r="257" spans="1:4" ht="18.75">
      <c r="A257" s="290"/>
      <c r="B257" s="290"/>
      <c r="C257" s="290"/>
      <c r="D257" s="290"/>
    </row>
    <row r="258" spans="1:4" ht="18" customHeight="1">
      <c r="A258" s="291"/>
      <c r="B258" s="291"/>
      <c r="C258" s="291"/>
      <c r="D258" s="291"/>
    </row>
    <row r="259" spans="1:4">
      <c r="A259" s="292"/>
      <c r="B259" s="292"/>
      <c r="C259" s="292"/>
      <c r="D259" s="292"/>
    </row>
    <row r="260" spans="1:4" ht="7.5" customHeight="1">
      <c r="A260" s="292"/>
      <c r="B260" s="292"/>
      <c r="C260" s="292"/>
      <c r="D260" s="292"/>
    </row>
    <row r="261" spans="1:4" ht="25.5" customHeight="1">
      <c r="A261" s="289"/>
      <c r="B261" s="289"/>
      <c r="C261" s="289"/>
      <c r="D261" s="289"/>
    </row>
    <row r="262" spans="1:4" ht="18.75">
      <c r="A262" s="290"/>
      <c r="B262" s="290"/>
      <c r="C262" s="290"/>
      <c r="D262" s="290"/>
    </row>
    <row r="263" spans="1:4" ht="18" customHeight="1">
      <c r="A263" s="291"/>
      <c r="B263" s="291"/>
      <c r="C263" s="291"/>
      <c r="D263" s="291"/>
    </row>
    <row r="264" spans="1:4">
      <c r="A264" s="292"/>
      <c r="B264" s="292"/>
      <c r="C264" s="292"/>
      <c r="D264" s="292"/>
    </row>
    <row r="265" spans="1:4" ht="7.5" customHeight="1">
      <c r="A265" s="292"/>
      <c r="B265" s="292"/>
      <c r="C265" s="292"/>
      <c r="D265" s="292"/>
    </row>
    <row r="266" spans="1:4" ht="25.5" customHeight="1">
      <c r="A266" s="289"/>
      <c r="B266" s="289"/>
      <c r="C266" s="289"/>
      <c r="D266" s="289"/>
    </row>
    <row r="267" spans="1:4" ht="18.75">
      <c r="A267" s="290"/>
      <c r="B267" s="290"/>
      <c r="C267" s="290"/>
      <c r="D267" s="290"/>
    </row>
    <row r="268" spans="1:4" ht="18" customHeight="1">
      <c r="A268" s="291"/>
      <c r="B268" s="291"/>
      <c r="C268" s="291"/>
      <c r="D268" s="291"/>
    </row>
    <row r="269" spans="1:4">
      <c r="A269" s="292"/>
      <c r="B269" s="292"/>
      <c r="C269" s="292"/>
      <c r="D269" s="292"/>
    </row>
    <row r="270" spans="1:4" ht="8.25" customHeight="1">
      <c r="A270" s="292"/>
      <c r="B270" s="292"/>
      <c r="C270" s="292"/>
      <c r="D270" s="292"/>
    </row>
    <row r="271" spans="1:4" ht="25.5" customHeight="1">
      <c r="A271" s="289"/>
      <c r="B271" s="289"/>
      <c r="C271" s="289"/>
      <c r="D271" s="289"/>
    </row>
    <row r="272" spans="1:4" ht="18.75">
      <c r="A272" s="290"/>
      <c r="B272" s="290"/>
      <c r="C272" s="290"/>
      <c r="D272" s="290"/>
    </row>
    <row r="273" spans="1:4" ht="18" customHeight="1">
      <c r="A273" s="291"/>
      <c r="B273" s="291"/>
      <c r="C273" s="291"/>
      <c r="D273" s="291"/>
    </row>
    <row r="274" spans="1:4">
      <c r="A274" s="292"/>
      <c r="B274" s="292"/>
      <c r="C274" s="292"/>
      <c r="D274" s="292"/>
    </row>
    <row r="275" spans="1:4" ht="9" customHeight="1">
      <c r="A275" s="292"/>
      <c r="B275" s="292"/>
      <c r="C275" s="292"/>
      <c r="D275" s="292"/>
    </row>
    <row r="276" spans="1:4" ht="25.5" customHeight="1">
      <c r="A276" s="289"/>
      <c r="B276" s="289"/>
      <c r="C276" s="289"/>
      <c r="D276" s="289"/>
    </row>
    <row r="277" spans="1:4" ht="18.75">
      <c r="A277" s="290"/>
      <c r="B277" s="290"/>
      <c r="C277" s="290"/>
      <c r="D277" s="290"/>
    </row>
    <row r="278" spans="1:4" ht="18" customHeight="1">
      <c r="A278" s="291"/>
      <c r="B278" s="291"/>
      <c r="C278" s="291"/>
      <c r="D278" s="291"/>
    </row>
    <row r="279" spans="1:4">
      <c r="A279" s="292"/>
      <c r="B279" s="292"/>
      <c r="C279" s="292"/>
      <c r="D279" s="292"/>
    </row>
    <row r="280" spans="1:4" ht="8.25" customHeight="1">
      <c r="A280" s="292"/>
      <c r="B280" s="292"/>
      <c r="C280" s="292"/>
      <c r="D280" s="292"/>
    </row>
    <row r="281" spans="1:4" ht="25.5" customHeight="1">
      <c r="A281" s="289"/>
      <c r="B281" s="289"/>
      <c r="C281" s="289"/>
      <c r="D281" s="289"/>
    </row>
    <row r="282" spans="1:4" ht="18.75">
      <c r="A282" s="290"/>
      <c r="B282" s="290"/>
      <c r="C282" s="290"/>
      <c r="D282" s="290"/>
    </row>
    <row r="283" spans="1:4" ht="18" customHeight="1">
      <c r="A283" s="291"/>
      <c r="B283" s="291"/>
      <c r="C283" s="291"/>
      <c r="D283" s="291"/>
    </row>
    <row r="284" spans="1:4">
      <c r="A284" s="292"/>
      <c r="B284" s="292"/>
      <c r="C284" s="292"/>
      <c r="D284" s="292"/>
    </row>
    <row r="285" spans="1:4" ht="8.25" customHeight="1">
      <c r="A285" s="292"/>
      <c r="B285" s="292"/>
      <c r="C285" s="292"/>
      <c r="D285" s="292"/>
    </row>
    <row r="286" spans="1:4" ht="25.5" customHeight="1">
      <c r="A286" s="289"/>
      <c r="B286" s="289"/>
      <c r="C286" s="289"/>
      <c r="D286" s="289"/>
    </row>
    <row r="287" spans="1:4" ht="18.75">
      <c r="A287" s="290"/>
      <c r="B287" s="290"/>
      <c r="C287" s="290"/>
      <c r="D287" s="290"/>
    </row>
    <row r="288" spans="1:4" ht="18" customHeight="1">
      <c r="A288" s="291"/>
      <c r="B288" s="291"/>
      <c r="C288" s="291"/>
      <c r="D288" s="291"/>
    </row>
    <row r="289" spans="1:4">
      <c r="A289" s="292"/>
      <c r="B289" s="292"/>
      <c r="C289" s="292"/>
      <c r="D289" s="292"/>
    </row>
    <row r="290" spans="1:4" ht="8.25" customHeight="1">
      <c r="A290" s="292"/>
      <c r="B290" s="292"/>
      <c r="C290" s="292"/>
      <c r="D290" s="292"/>
    </row>
    <row r="291" spans="1:4" ht="25.5" customHeight="1">
      <c r="A291" s="289"/>
      <c r="B291" s="289"/>
      <c r="C291" s="289"/>
      <c r="D291" s="289"/>
    </row>
    <row r="292" spans="1:4" ht="18.75">
      <c r="A292" s="290"/>
      <c r="B292" s="290"/>
      <c r="C292" s="290"/>
      <c r="D292" s="290"/>
    </row>
    <row r="293" spans="1:4" ht="18" customHeight="1">
      <c r="A293" s="291"/>
      <c r="B293" s="291"/>
      <c r="C293" s="291"/>
      <c r="D293" s="291"/>
    </row>
    <row r="294" spans="1:4">
      <c r="A294" s="292"/>
      <c r="B294" s="292"/>
      <c r="C294" s="292"/>
      <c r="D294" s="292"/>
    </row>
    <row r="295" spans="1:4" ht="8.25" customHeight="1">
      <c r="A295" s="292"/>
      <c r="B295" s="292"/>
      <c r="C295" s="292"/>
      <c r="D295" s="292"/>
    </row>
    <row r="296" spans="1:4" ht="25.5" customHeight="1">
      <c r="A296" s="289"/>
      <c r="B296" s="289"/>
      <c r="C296" s="289"/>
      <c r="D296" s="289"/>
    </row>
    <row r="297" spans="1:4" ht="18.75">
      <c r="A297" s="290"/>
      <c r="B297" s="290"/>
      <c r="C297" s="290"/>
      <c r="D297" s="290"/>
    </row>
    <row r="298" spans="1:4" ht="18" customHeight="1">
      <c r="A298" s="291"/>
      <c r="B298" s="291"/>
      <c r="C298" s="291"/>
      <c r="D298" s="291"/>
    </row>
    <row r="299" spans="1:4" ht="14.25" customHeight="1">
      <c r="A299" s="292"/>
      <c r="B299" s="291"/>
      <c r="C299" s="291"/>
      <c r="D299" s="291"/>
    </row>
    <row r="300" spans="1:4" ht="0.75" customHeight="1">
      <c r="A300" s="292"/>
      <c r="B300" s="292"/>
      <c r="C300" s="292"/>
      <c r="D300" s="292"/>
    </row>
    <row r="301" spans="1:4" ht="25.5" customHeight="1">
      <c r="A301" s="289"/>
      <c r="B301" s="289"/>
      <c r="C301" s="289"/>
      <c r="D301" s="289"/>
    </row>
    <row r="302" spans="1:4" ht="18.75">
      <c r="A302" s="290"/>
      <c r="B302" s="290"/>
      <c r="C302" s="290"/>
      <c r="D302" s="290"/>
    </row>
    <row r="303" spans="1:4" ht="18" customHeight="1">
      <c r="A303" s="291"/>
      <c r="B303" s="291"/>
      <c r="C303" s="291"/>
      <c r="D303" s="291"/>
    </row>
    <row r="304" spans="1:4">
      <c r="A304" s="292"/>
      <c r="B304" s="292"/>
      <c r="C304" s="292"/>
      <c r="D304" s="292"/>
    </row>
    <row r="305" spans="1:4" ht="7.5" customHeight="1">
      <c r="A305" s="294"/>
      <c r="B305" s="294"/>
      <c r="C305" s="294"/>
      <c r="D305" s="294"/>
    </row>
    <row r="306" spans="1:4" ht="25.5" customHeight="1">
      <c r="A306" s="289"/>
      <c r="B306" s="289"/>
      <c r="C306" s="289"/>
      <c r="D306" s="289"/>
    </row>
    <row r="307" spans="1:4" ht="18.75">
      <c r="A307" s="290"/>
      <c r="B307" s="290"/>
      <c r="C307" s="290"/>
      <c r="D307" s="290"/>
    </row>
    <row r="308" spans="1:4" ht="18" customHeight="1">
      <c r="A308" s="291"/>
      <c r="B308" s="291"/>
      <c r="C308" s="291"/>
      <c r="D308" s="291"/>
    </row>
    <row r="309" spans="1:4">
      <c r="A309" s="292"/>
      <c r="B309" s="292"/>
      <c r="C309" s="292"/>
      <c r="D309" s="292"/>
    </row>
    <row r="310" spans="1:4" ht="7.5" customHeight="1">
      <c r="A310" s="292"/>
      <c r="B310" s="292"/>
      <c r="C310" s="292"/>
      <c r="D310" s="292"/>
    </row>
    <row r="311" spans="1:4" ht="25.5" customHeight="1">
      <c r="A311" s="289"/>
      <c r="B311" s="289"/>
      <c r="C311" s="289"/>
      <c r="D311" s="289"/>
    </row>
    <row r="312" spans="1:4" ht="18.75">
      <c r="A312" s="290"/>
      <c r="B312" s="290"/>
      <c r="C312" s="290"/>
      <c r="D312" s="290"/>
    </row>
    <row r="313" spans="1:4" ht="18" customHeight="1">
      <c r="A313" s="291"/>
      <c r="B313" s="291"/>
      <c r="C313" s="291"/>
      <c r="D313" s="291"/>
    </row>
    <row r="314" spans="1:4">
      <c r="A314" s="292"/>
      <c r="B314" s="292"/>
      <c r="C314" s="292"/>
      <c r="D314" s="292"/>
    </row>
    <row r="315" spans="1:4" ht="7.5" customHeight="1">
      <c r="A315" s="292"/>
      <c r="B315" s="292"/>
      <c r="C315" s="292"/>
      <c r="D315" s="292"/>
    </row>
    <row r="316" spans="1:4" ht="25.5" customHeight="1">
      <c r="A316" s="289"/>
      <c r="B316" s="289"/>
      <c r="C316" s="289"/>
      <c r="D316" s="289"/>
    </row>
    <row r="317" spans="1:4" ht="18.75">
      <c r="A317" s="290"/>
      <c r="B317" s="290"/>
      <c r="C317" s="290"/>
      <c r="D317" s="290"/>
    </row>
    <row r="318" spans="1:4" ht="18" customHeight="1">
      <c r="A318" s="291"/>
      <c r="B318" s="291"/>
      <c r="C318" s="291"/>
      <c r="D318" s="291"/>
    </row>
    <row r="319" spans="1:4">
      <c r="A319" s="292"/>
      <c r="B319" s="292"/>
      <c r="C319" s="292"/>
      <c r="D319" s="292"/>
    </row>
    <row r="320" spans="1:4" ht="8.25" customHeight="1">
      <c r="A320" s="292"/>
      <c r="B320" s="292"/>
      <c r="C320" s="292"/>
      <c r="D320" s="292"/>
    </row>
    <row r="321" spans="1:4" ht="25.5" customHeight="1">
      <c r="A321" s="289"/>
      <c r="B321" s="289"/>
      <c r="C321" s="289"/>
      <c r="D321" s="289"/>
    </row>
    <row r="322" spans="1:4" ht="18.75">
      <c r="A322" s="290"/>
      <c r="B322" s="290"/>
      <c r="C322" s="290"/>
      <c r="D322" s="290"/>
    </row>
    <row r="323" spans="1:4" ht="18" customHeight="1">
      <c r="A323" s="291"/>
      <c r="B323" s="291"/>
      <c r="C323" s="291"/>
      <c r="D323" s="291"/>
    </row>
    <row r="324" spans="1:4">
      <c r="A324" s="292"/>
      <c r="B324" s="292"/>
      <c r="C324" s="292"/>
      <c r="D324" s="292"/>
    </row>
    <row r="325" spans="1:4" ht="9" customHeight="1">
      <c r="A325" s="292"/>
      <c r="B325" s="292"/>
      <c r="C325" s="292"/>
      <c r="D325" s="292"/>
    </row>
    <row r="326" spans="1:4" ht="25.5" customHeight="1">
      <c r="A326" s="289"/>
      <c r="B326" s="289"/>
      <c r="C326" s="289"/>
      <c r="D326" s="289"/>
    </row>
    <row r="327" spans="1:4" ht="18.75">
      <c r="A327" s="290"/>
      <c r="B327" s="290"/>
      <c r="C327" s="290"/>
      <c r="D327" s="290"/>
    </row>
    <row r="328" spans="1:4" ht="18" customHeight="1">
      <c r="A328" s="291"/>
      <c r="B328" s="291"/>
      <c r="C328" s="291"/>
      <c r="D328" s="291"/>
    </row>
    <row r="329" spans="1:4">
      <c r="A329" s="292"/>
      <c r="B329" s="292"/>
      <c r="C329" s="292"/>
      <c r="D329" s="292"/>
    </row>
    <row r="330" spans="1:4" ht="8.25" customHeight="1">
      <c r="A330" s="292"/>
      <c r="B330" s="292"/>
      <c r="C330" s="292"/>
      <c r="D330" s="292"/>
    </row>
    <row r="331" spans="1:4" ht="25.5" customHeight="1">
      <c r="A331" s="289"/>
      <c r="B331" s="289"/>
      <c r="C331" s="289"/>
      <c r="D331" s="289"/>
    </row>
    <row r="332" spans="1:4" ht="18.75">
      <c r="A332" s="290"/>
      <c r="B332" s="290"/>
      <c r="C332" s="290"/>
      <c r="D332" s="290"/>
    </row>
    <row r="333" spans="1:4" ht="18" customHeight="1">
      <c r="A333" s="291"/>
      <c r="B333" s="291"/>
      <c r="C333" s="291"/>
      <c r="D333" s="291"/>
    </row>
    <row r="334" spans="1:4">
      <c r="A334" s="292"/>
      <c r="B334" s="292"/>
      <c r="C334" s="292"/>
      <c r="D334" s="292"/>
    </row>
    <row r="335" spans="1:4" ht="8.25" customHeight="1">
      <c r="A335" s="292"/>
      <c r="B335" s="292"/>
      <c r="C335" s="292"/>
      <c r="D335" s="292"/>
    </row>
    <row r="336" spans="1:4" ht="25.5" customHeight="1">
      <c r="A336" s="289"/>
      <c r="B336" s="289"/>
      <c r="C336" s="289"/>
      <c r="D336" s="289"/>
    </row>
    <row r="337" spans="1:4" ht="18.75">
      <c r="A337" s="290"/>
      <c r="B337" s="290"/>
      <c r="C337" s="290"/>
      <c r="D337" s="290"/>
    </row>
    <row r="338" spans="1:4" ht="18" customHeight="1">
      <c r="A338" s="291"/>
      <c r="B338" s="291"/>
      <c r="C338" s="291"/>
      <c r="D338" s="291"/>
    </row>
    <row r="339" spans="1:4">
      <c r="A339" s="292"/>
      <c r="B339" s="292"/>
      <c r="C339" s="292"/>
      <c r="D339" s="292"/>
    </row>
    <row r="340" spans="1:4" ht="8.25" customHeight="1">
      <c r="A340" s="292"/>
      <c r="B340" s="292"/>
      <c r="C340" s="292"/>
      <c r="D340" s="292"/>
    </row>
    <row r="341" spans="1:4" ht="25.5" customHeight="1">
      <c r="A341" s="289"/>
      <c r="B341" s="289"/>
      <c r="C341" s="289"/>
      <c r="D341" s="289"/>
    </row>
    <row r="342" spans="1:4" ht="18.75">
      <c r="A342" s="290"/>
      <c r="B342" s="290"/>
      <c r="C342" s="290"/>
      <c r="D342" s="290"/>
    </row>
    <row r="343" spans="1:4" ht="18" customHeight="1">
      <c r="A343" s="291"/>
      <c r="B343" s="291"/>
      <c r="C343" s="291"/>
      <c r="D343" s="291"/>
    </row>
    <row r="344" spans="1:4">
      <c r="A344" s="292"/>
      <c r="B344" s="292"/>
      <c r="C344" s="292"/>
      <c r="D344" s="292"/>
    </row>
    <row r="345" spans="1:4" ht="8.25" customHeight="1">
      <c r="A345" s="292"/>
      <c r="B345" s="292"/>
      <c r="C345" s="292"/>
      <c r="D345" s="292"/>
    </row>
    <row r="346" spans="1:4" ht="25.5" customHeight="1">
      <c r="A346" s="289"/>
      <c r="B346" s="289"/>
      <c r="C346" s="289"/>
      <c r="D346" s="289"/>
    </row>
    <row r="347" spans="1:4" ht="18.75">
      <c r="A347" s="290"/>
      <c r="B347" s="290"/>
      <c r="C347" s="290"/>
      <c r="D347" s="290"/>
    </row>
    <row r="348" spans="1:4" ht="18" customHeight="1">
      <c r="A348" s="291"/>
      <c r="B348" s="291"/>
      <c r="C348" s="291"/>
      <c r="D348" s="291"/>
    </row>
    <row r="349" spans="1:4" ht="14.25" customHeight="1">
      <c r="A349" s="292"/>
      <c r="B349" s="291"/>
      <c r="C349" s="291"/>
      <c r="D349" s="291"/>
    </row>
    <row r="350" spans="1:4" ht="0.75" customHeight="1">
      <c r="A350" s="292"/>
      <c r="B350" s="292"/>
      <c r="C350" s="292"/>
      <c r="D350" s="292"/>
    </row>
    <row r="351" spans="1:4" ht="25.5" customHeight="1">
      <c r="A351" s="289"/>
      <c r="B351" s="289"/>
      <c r="C351" s="289"/>
      <c r="D351" s="289"/>
    </row>
    <row r="352" spans="1:4" ht="18.75">
      <c r="A352" s="290"/>
      <c r="B352" s="290"/>
      <c r="C352" s="290"/>
      <c r="D352" s="290"/>
    </row>
    <row r="353" spans="1:4" ht="18" customHeight="1">
      <c r="A353" s="291"/>
      <c r="B353" s="291"/>
      <c r="C353" s="291"/>
      <c r="D353" s="291"/>
    </row>
    <row r="354" spans="1:4">
      <c r="A354" s="292"/>
      <c r="B354" s="292"/>
      <c r="C354" s="292"/>
      <c r="D354" s="292"/>
    </row>
    <row r="355" spans="1:4" ht="7.5" customHeight="1">
      <c r="A355" s="294"/>
      <c r="B355" s="294"/>
      <c r="C355" s="294"/>
      <c r="D355" s="294"/>
    </row>
    <row r="356" spans="1:4" ht="25.5" customHeight="1">
      <c r="A356" s="289"/>
      <c r="B356" s="289"/>
      <c r="C356" s="289"/>
      <c r="D356" s="289"/>
    </row>
    <row r="357" spans="1:4" ht="18.75">
      <c r="A357" s="290"/>
      <c r="B357" s="290"/>
      <c r="C357" s="290"/>
      <c r="D357" s="290"/>
    </row>
    <row r="358" spans="1:4" ht="18" customHeight="1">
      <c r="A358" s="291"/>
      <c r="B358" s="291"/>
      <c r="C358" s="291"/>
      <c r="D358" s="291"/>
    </row>
    <row r="359" spans="1:4">
      <c r="A359" s="292"/>
      <c r="B359" s="292"/>
      <c r="C359" s="292"/>
      <c r="D359" s="292"/>
    </row>
    <row r="360" spans="1:4" ht="7.5" customHeight="1">
      <c r="A360" s="292"/>
      <c r="B360" s="292"/>
      <c r="C360" s="292"/>
      <c r="D360" s="292"/>
    </row>
    <row r="361" spans="1:4" ht="25.5" customHeight="1">
      <c r="A361" s="289"/>
      <c r="B361" s="289"/>
      <c r="C361" s="289"/>
      <c r="D361" s="289"/>
    </row>
    <row r="362" spans="1:4" ht="18.75">
      <c r="A362" s="290"/>
      <c r="B362" s="290"/>
      <c r="C362" s="290"/>
      <c r="D362" s="290"/>
    </row>
    <row r="363" spans="1:4" ht="18" customHeight="1">
      <c r="A363" s="291"/>
      <c r="B363" s="291"/>
      <c r="C363" s="291"/>
      <c r="D363" s="291"/>
    </row>
    <row r="364" spans="1:4">
      <c r="A364" s="292"/>
      <c r="B364" s="292"/>
      <c r="C364" s="292"/>
      <c r="D364" s="292"/>
    </row>
    <row r="365" spans="1:4" ht="7.5" customHeight="1">
      <c r="A365" s="292"/>
      <c r="B365" s="292"/>
      <c r="C365" s="292"/>
      <c r="D365" s="292"/>
    </row>
    <row r="366" spans="1:4" ht="25.5" customHeight="1">
      <c r="A366" s="289"/>
      <c r="B366" s="289"/>
      <c r="C366" s="289"/>
      <c r="D366" s="289"/>
    </row>
    <row r="367" spans="1:4" ht="18.75">
      <c r="A367" s="290"/>
      <c r="B367" s="290"/>
      <c r="C367" s="290"/>
      <c r="D367" s="290"/>
    </row>
    <row r="368" spans="1:4" ht="18" customHeight="1">
      <c r="A368" s="291"/>
      <c r="B368" s="291"/>
      <c r="C368" s="291"/>
      <c r="D368" s="291"/>
    </row>
    <row r="369" spans="1:4">
      <c r="A369" s="292"/>
      <c r="B369" s="292"/>
      <c r="C369" s="292"/>
      <c r="D369" s="292"/>
    </row>
    <row r="370" spans="1:4" ht="8.25" customHeight="1">
      <c r="A370" s="292"/>
      <c r="B370" s="292"/>
      <c r="C370" s="292"/>
      <c r="D370" s="292"/>
    </row>
    <row r="371" spans="1:4" ht="25.5" customHeight="1">
      <c r="A371" s="289"/>
      <c r="B371" s="289"/>
      <c r="C371" s="289"/>
      <c r="D371" s="289"/>
    </row>
    <row r="372" spans="1:4" ht="18.75">
      <c r="A372" s="290"/>
      <c r="B372" s="290"/>
      <c r="C372" s="290"/>
      <c r="D372" s="290"/>
    </row>
    <row r="373" spans="1:4" ht="18" customHeight="1">
      <c r="A373" s="291"/>
      <c r="B373" s="291"/>
      <c r="C373" s="291"/>
      <c r="D373" s="291"/>
    </row>
    <row r="374" spans="1:4">
      <c r="A374" s="292"/>
      <c r="B374" s="292"/>
      <c r="C374" s="292"/>
      <c r="D374" s="292"/>
    </row>
    <row r="375" spans="1:4" ht="9" customHeight="1">
      <c r="A375" s="292"/>
      <c r="B375" s="292"/>
      <c r="C375" s="292"/>
      <c r="D375" s="292"/>
    </row>
    <row r="376" spans="1:4" ht="25.5" customHeight="1">
      <c r="A376" s="289"/>
      <c r="B376" s="289"/>
      <c r="C376" s="289"/>
      <c r="D376" s="289"/>
    </row>
    <row r="377" spans="1:4" ht="18.75">
      <c r="A377" s="290"/>
      <c r="B377" s="290"/>
      <c r="C377" s="290"/>
      <c r="D377" s="290"/>
    </row>
    <row r="378" spans="1:4" ht="18" customHeight="1">
      <c r="A378" s="291"/>
      <c r="B378" s="291"/>
      <c r="C378" s="291"/>
      <c r="D378" s="291"/>
    </row>
    <row r="379" spans="1:4">
      <c r="A379" s="292"/>
      <c r="B379" s="292"/>
      <c r="C379" s="292"/>
      <c r="D379" s="292"/>
    </row>
    <row r="380" spans="1:4" ht="8.25" customHeight="1">
      <c r="A380" s="292"/>
      <c r="B380" s="292"/>
      <c r="C380" s="292"/>
      <c r="D380" s="292"/>
    </row>
    <row r="381" spans="1:4" ht="25.5" customHeight="1">
      <c r="A381" s="289"/>
      <c r="B381" s="289"/>
      <c r="C381" s="289"/>
      <c r="D381" s="289"/>
    </row>
    <row r="382" spans="1:4" ht="18.75">
      <c r="A382" s="290"/>
      <c r="B382" s="290"/>
      <c r="C382" s="290"/>
      <c r="D382" s="290"/>
    </row>
    <row r="383" spans="1:4" ht="18" customHeight="1">
      <c r="A383" s="291"/>
      <c r="B383" s="291"/>
      <c r="C383" s="291"/>
      <c r="D383" s="291"/>
    </row>
    <row r="384" spans="1:4">
      <c r="A384" s="292"/>
      <c r="B384" s="292"/>
      <c r="C384" s="292"/>
      <c r="D384" s="292"/>
    </row>
    <row r="385" spans="1:4" ht="8.25" customHeight="1">
      <c r="A385" s="292"/>
      <c r="B385" s="292"/>
      <c r="C385" s="292"/>
      <c r="D385" s="292"/>
    </row>
    <row r="386" spans="1:4" ht="25.5" customHeight="1">
      <c r="A386" s="289"/>
      <c r="B386" s="289"/>
      <c r="C386" s="289"/>
      <c r="D386" s="289"/>
    </row>
    <row r="387" spans="1:4" ht="18.75">
      <c r="A387" s="290"/>
      <c r="B387" s="290"/>
      <c r="C387" s="290"/>
      <c r="D387" s="290"/>
    </row>
    <row r="388" spans="1:4" ht="18" customHeight="1">
      <c r="A388" s="291"/>
      <c r="B388" s="291"/>
      <c r="C388" s="291"/>
      <c r="D388" s="291"/>
    </row>
    <row r="389" spans="1:4">
      <c r="A389" s="292"/>
      <c r="B389" s="292"/>
      <c r="C389" s="292"/>
      <c r="D389" s="292"/>
    </row>
    <row r="390" spans="1:4" ht="8.25" customHeight="1">
      <c r="A390" s="292"/>
      <c r="B390" s="292"/>
      <c r="C390" s="292"/>
      <c r="D390" s="292"/>
    </row>
    <row r="391" spans="1:4" ht="25.5" customHeight="1">
      <c r="A391" s="289"/>
      <c r="B391" s="289"/>
      <c r="C391" s="289"/>
      <c r="D391" s="289"/>
    </row>
    <row r="392" spans="1:4" ht="18.75">
      <c r="A392" s="290"/>
      <c r="B392" s="290"/>
      <c r="C392" s="290"/>
      <c r="D392" s="290"/>
    </row>
    <row r="393" spans="1:4" ht="18" customHeight="1">
      <c r="A393" s="291"/>
      <c r="B393" s="291"/>
      <c r="C393" s="291"/>
      <c r="D393" s="291"/>
    </row>
    <row r="394" spans="1:4">
      <c r="A394" s="292"/>
      <c r="B394" s="292"/>
      <c r="C394" s="292"/>
      <c r="D394" s="292"/>
    </row>
    <row r="395" spans="1:4" ht="8.25" customHeight="1">
      <c r="A395" s="292"/>
      <c r="B395" s="292"/>
      <c r="C395" s="292"/>
      <c r="D395" s="292"/>
    </row>
    <row r="396" spans="1:4" ht="25.5" customHeight="1">
      <c r="A396" s="289"/>
      <c r="B396" s="289"/>
      <c r="C396" s="289"/>
      <c r="D396" s="289"/>
    </row>
    <row r="397" spans="1:4" ht="18.75">
      <c r="A397" s="290"/>
      <c r="B397" s="290"/>
      <c r="C397" s="290"/>
      <c r="D397" s="290"/>
    </row>
    <row r="398" spans="1:4" ht="18" customHeight="1">
      <c r="A398" s="291"/>
      <c r="B398" s="291"/>
      <c r="C398" s="291"/>
      <c r="D398" s="291"/>
    </row>
    <row r="399" spans="1:4" ht="14.25" customHeight="1">
      <c r="A399" s="292"/>
      <c r="B399" s="291"/>
      <c r="C399" s="291"/>
      <c r="D399" s="291"/>
    </row>
    <row r="400" spans="1:4" ht="0.75" customHeight="1">
      <c r="A400" s="292"/>
      <c r="B400" s="292"/>
      <c r="C400" s="292"/>
      <c r="D400" s="292"/>
    </row>
    <row r="401" spans="1:4" ht="25.5" customHeight="1">
      <c r="A401" s="289"/>
      <c r="B401" s="289"/>
      <c r="C401" s="289"/>
      <c r="D401" s="289"/>
    </row>
    <row r="402" spans="1:4" ht="18.75">
      <c r="A402" s="290"/>
      <c r="B402" s="290"/>
      <c r="C402" s="290"/>
      <c r="D402" s="290"/>
    </row>
    <row r="403" spans="1:4" ht="18" customHeight="1">
      <c r="A403" s="291"/>
      <c r="B403" s="291"/>
      <c r="C403" s="291"/>
      <c r="D403" s="291"/>
    </row>
    <row r="404" spans="1:4">
      <c r="A404" s="292"/>
      <c r="B404" s="292"/>
      <c r="C404" s="292"/>
      <c r="D404" s="292"/>
    </row>
    <row r="405" spans="1:4" ht="7.5" customHeight="1">
      <c r="A405" s="294"/>
      <c r="B405" s="294"/>
      <c r="C405" s="294"/>
      <c r="D405" s="294"/>
    </row>
    <row r="406" spans="1:4" ht="25.5" customHeight="1">
      <c r="A406" s="289"/>
      <c r="B406" s="289"/>
      <c r="C406" s="289"/>
      <c r="D406" s="289"/>
    </row>
    <row r="407" spans="1:4" ht="18.75">
      <c r="A407" s="290"/>
      <c r="B407" s="290"/>
      <c r="C407" s="290"/>
      <c r="D407" s="290"/>
    </row>
    <row r="408" spans="1:4" ht="18" customHeight="1">
      <c r="A408" s="291"/>
      <c r="B408" s="291"/>
      <c r="C408" s="291"/>
      <c r="D408" s="291"/>
    </row>
    <row r="409" spans="1:4">
      <c r="A409" s="292"/>
      <c r="B409" s="292"/>
      <c r="C409" s="292"/>
      <c r="D409" s="292"/>
    </row>
    <row r="410" spans="1:4" ht="7.5" customHeight="1">
      <c r="A410" s="292"/>
      <c r="B410" s="292"/>
      <c r="C410" s="292"/>
      <c r="D410" s="292"/>
    </row>
    <row r="411" spans="1:4" ht="25.5" customHeight="1">
      <c r="A411" s="289"/>
      <c r="B411" s="289"/>
      <c r="C411" s="289"/>
      <c r="D411" s="289"/>
    </row>
    <row r="412" spans="1:4" ht="18.75">
      <c r="A412" s="290"/>
      <c r="B412" s="290"/>
      <c r="C412" s="290"/>
      <c r="D412" s="290"/>
    </row>
    <row r="413" spans="1:4" ht="18" customHeight="1">
      <c r="A413" s="291"/>
      <c r="B413" s="291"/>
      <c r="C413" s="291"/>
      <c r="D413" s="291"/>
    </row>
    <row r="414" spans="1:4">
      <c r="A414" s="292"/>
      <c r="B414" s="292"/>
      <c r="C414" s="292"/>
      <c r="D414" s="292"/>
    </row>
    <row r="415" spans="1:4" ht="7.5" customHeight="1">
      <c r="A415" s="292"/>
      <c r="B415" s="292"/>
      <c r="C415" s="292"/>
      <c r="D415" s="292"/>
    </row>
    <row r="416" spans="1:4" ht="25.5" customHeight="1">
      <c r="A416" s="289"/>
      <c r="B416" s="289"/>
      <c r="C416" s="289"/>
      <c r="D416" s="289"/>
    </row>
    <row r="417" spans="1:4" ht="18.75">
      <c r="A417" s="290"/>
      <c r="B417" s="290"/>
      <c r="C417" s="290"/>
      <c r="D417" s="290"/>
    </row>
    <row r="418" spans="1:4" ht="18" customHeight="1">
      <c r="A418" s="291"/>
      <c r="B418" s="291"/>
      <c r="C418" s="291"/>
      <c r="D418" s="291"/>
    </row>
    <row r="419" spans="1:4">
      <c r="A419" s="292"/>
      <c r="B419" s="292"/>
      <c r="C419" s="292"/>
      <c r="D419" s="292"/>
    </row>
    <row r="420" spans="1:4" ht="8.25" customHeight="1">
      <c r="A420" s="292"/>
      <c r="B420" s="292"/>
      <c r="C420" s="292"/>
      <c r="D420" s="292"/>
    </row>
    <row r="421" spans="1:4" ht="25.5" customHeight="1">
      <c r="A421" s="289"/>
      <c r="B421" s="289"/>
      <c r="C421" s="289"/>
      <c r="D421" s="289"/>
    </row>
    <row r="422" spans="1:4" ht="18.75">
      <c r="A422" s="290"/>
      <c r="B422" s="290"/>
      <c r="C422" s="290"/>
      <c r="D422" s="290"/>
    </row>
    <row r="423" spans="1:4" ht="18" customHeight="1">
      <c r="A423" s="291"/>
      <c r="B423" s="291"/>
      <c r="C423" s="291"/>
      <c r="D423" s="291"/>
    </row>
    <row r="424" spans="1:4">
      <c r="A424" s="292"/>
      <c r="B424" s="292"/>
      <c r="C424" s="292"/>
      <c r="D424" s="292"/>
    </row>
    <row r="425" spans="1:4" ht="9" customHeight="1">
      <c r="A425" s="292"/>
      <c r="B425" s="292"/>
      <c r="C425" s="292"/>
      <c r="D425" s="292"/>
    </row>
    <row r="426" spans="1:4" ht="25.5" customHeight="1">
      <c r="A426" s="289"/>
      <c r="B426" s="289"/>
      <c r="C426" s="289"/>
      <c r="D426" s="289"/>
    </row>
    <row r="427" spans="1:4" ht="18.75">
      <c r="A427" s="290"/>
      <c r="B427" s="290"/>
      <c r="C427" s="290"/>
      <c r="D427" s="290"/>
    </row>
    <row r="428" spans="1:4" ht="18" customHeight="1">
      <c r="A428" s="291"/>
      <c r="B428" s="291"/>
      <c r="C428" s="291"/>
      <c r="D428" s="291"/>
    </row>
    <row r="429" spans="1:4">
      <c r="A429" s="292"/>
      <c r="B429" s="292"/>
      <c r="C429" s="292"/>
      <c r="D429" s="292"/>
    </row>
    <row r="430" spans="1:4" ht="8.25" customHeight="1">
      <c r="A430" s="292"/>
      <c r="B430" s="292"/>
      <c r="C430" s="292"/>
      <c r="D430" s="292"/>
    </row>
    <row r="431" spans="1:4" ht="25.5" customHeight="1">
      <c r="A431" s="289"/>
      <c r="B431" s="289"/>
      <c r="C431" s="289"/>
      <c r="D431" s="289"/>
    </row>
    <row r="432" spans="1:4" ht="18.75">
      <c r="A432" s="290"/>
      <c r="B432" s="290"/>
      <c r="C432" s="290"/>
      <c r="D432" s="290"/>
    </row>
    <row r="433" spans="1:4" ht="18" customHeight="1">
      <c r="A433" s="291"/>
      <c r="B433" s="291"/>
      <c r="C433" s="291"/>
      <c r="D433" s="291"/>
    </row>
    <row r="434" spans="1:4">
      <c r="A434" s="292"/>
      <c r="B434" s="292"/>
      <c r="C434" s="292"/>
      <c r="D434" s="292"/>
    </row>
    <row r="435" spans="1:4" ht="8.25" customHeight="1">
      <c r="A435" s="292"/>
      <c r="B435" s="292"/>
      <c r="C435" s="292"/>
      <c r="D435" s="292"/>
    </row>
    <row r="436" spans="1:4" ht="25.5" customHeight="1">
      <c r="A436" s="289"/>
      <c r="B436" s="289"/>
      <c r="C436" s="289"/>
      <c r="D436" s="289"/>
    </row>
    <row r="437" spans="1:4" ht="18.75">
      <c r="A437" s="290"/>
      <c r="B437" s="290"/>
      <c r="C437" s="290"/>
      <c r="D437" s="290"/>
    </row>
    <row r="438" spans="1:4" ht="18" customHeight="1">
      <c r="A438" s="291"/>
      <c r="B438" s="291"/>
      <c r="C438" s="291"/>
      <c r="D438" s="291"/>
    </row>
    <row r="439" spans="1:4">
      <c r="A439" s="292"/>
      <c r="B439" s="292"/>
      <c r="C439" s="292"/>
      <c r="D439" s="292"/>
    </row>
    <row r="440" spans="1:4" ht="8.25" customHeight="1">
      <c r="A440" s="292"/>
      <c r="B440" s="292"/>
      <c r="C440" s="292"/>
      <c r="D440" s="292"/>
    </row>
    <row r="441" spans="1:4" ht="25.5" customHeight="1">
      <c r="A441" s="289"/>
      <c r="B441" s="289"/>
      <c r="C441" s="289"/>
      <c r="D441" s="289"/>
    </row>
    <row r="442" spans="1:4" ht="18.75">
      <c r="A442" s="290"/>
      <c r="B442" s="290"/>
      <c r="C442" s="290"/>
      <c r="D442" s="290"/>
    </row>
    <row r="443" spans="1:4" ht="18" customHeight="1">
      <c r="A443" s="291"/>
      <c r="B443" s="291"/>
      <c r="C443" s="291"/>
      <c r="D443" s="291"/>
    </row>
    <row r="444" spans="1:4">
      <c r="A444" s="292"/>
      <c r="B444" s="292"/>
      <c r="C444" s="292"/>
      <c r="D444" s="292"/>
    </row>
    <row r="445" spans="1:4" ht="8.25" customHeight="1">
      <c r="A445" s="292"/>
      <c r="B445" s="292"/>
      <c r="C445" s="292"/>
      <c r="D445" s="292"/>
    </row>
    <row r="446" spans="1:4" ht="25.5" customHeight="1">
      <c r="A446" s="289"/>
      <c r="B446" s="289"/>
      <c r="C446" s="289"/>
      <c r="D446" s="289"/>
    </row>
    <row r="447" spans="1:4" ht="18.75">
      <c r="A447" s="290"/>
      <c r="B447" s="290"/>
      <c r="C447" s="290"/>
      <c r="D447" s="290"/>
    </row>
    <row r="448" spans="1:4" ht="18" customHeight="1">
      <c r="A448" s="291"/>
      <c r="B448" s="291"/>
      <c r="C448" s="291"/>
      <c r="D448" s="291"/>
    </row>
    <row r="449" spans="1:4" ht="14.25" customHeight="1">
      <c r="A449" s="292"/>
      <c r="B449" s="291"/>
      <c r="C449" s="291"/>
      <c r="D449" s="291"/>
    </row>
    <row r="450" spans="1:4" ht="0.75" customHeight="1">
      <c r="A450" s="292"/>
      <c r="B450" s="292"/>
      <c r="C450" s="292"/>
      <c r="D450" s="292"/>
    </row>
    <row r="451" spans="1:4" ht="25.5" customHeight="1">
      <c r="A451" s="289"/>
      <c r="B451" s="289"/>
      <c r="C451" s="289"/>
      <c r="D451" s="289"/>
    </row>
    <row r="452" spans="1:4" ht="18.75">
      <c r="A452" s="290"/>
      <c r="B452" s="290"/>
      <c r="C452" s="290"/>
      <c r="D452" s="290"/>
    </row>
    <row r="453" spans="1:4" ht="18" customHeight="1">
      <c r="A453" s="291"/>
      <c r="B453" s="291"/>
      <c r="C453" s="291"/>
      <c r="D453" s="291"/>
    </row>
    <row r="454" spans="1:4">
      <c r="A454" s="292"/>
      <c r="B454" s="292"/>
      <c r="C454" s="292"/>
      <c r="D454" s="292"/>
    </row>
    <row r="455" spans="1:4" ht="7.5" customHeight="1">
      <c r="A455" s="294"/>
      <c r="B455" s="294"/>
      <c r="C455" s="294"/>
      <c r="D455" s="294"/>
    </row>
    <row r="456" spans="1:4" ht="25.5" customHeight="1">
      <c r="A456" s="289"/>
      <c r="B456" s="289"/>
      <c r="C456" s="289"/>
      <c r="D456" s="289"/>
    </row>
    <row r="457" spans="1:4" ht="18.75">
      <c r="A457" s="290"/>
      <c r="B457" s="290"/>
      <c r="C457" s="290"/>
      <c r="D457" s="290"/>
    </row>
    <row r="458" spans="1:4" ht="18" customHeight="1">
      <c r="A458" s="291"/>
      <c r="B458" s="291"/>
      <c r="C458" s="291"/>
      <c r="D458" s="291"/>
    </row>
    <row r="459" spans="1:4">
      <c r="A459" s="292"/>
      <c r="B459" s="292"/>
      <c r="C459" s="292"/>
      <c r="D459" s="292"/>
    </row>
    <row r="460" spans="1:4" ht="7.5" customHeight="1">
      <c r="A460" s="292"/>
      <c r="B460" s="292"/>
      <c r="C460" s="292"/>
      <c r="D460" s="292"/>
    </row>
    <row r="461" spans="1:4" ht="25.5" customHeight="1">
      <c r="A461" s="289"/>
      <c r="B461" s="289"/>
      <c r="C461" s="289"/>
      <c r="D461" s="289"/>
    </row>
    <row r="462" spans="1:4" ht="18.75">
      <c r="A462" s="290"/>
      <c r="B462" s="290"/>
      <c r="C462" s="290"/>
      <c r="D462" s="290"/>
    </row>
    <row r="463" spans="1:4" ht="18" customHeight="1">
      <c r="A463" s="291"/>
      <c r="B463" s="291"/>
      <c r="C463" s="291"/>
      <c r="D463" s="291"/>
    </row>
    <row r="464" spans="1:4">
      <c r="A464" s="292"/>
      <c r="B464" s="292"/>
      <c r="C464" s="292"/>
      <c r="D464" s="292"/>
    </row>
    <row r="465" spans="1:4" ht="7.5" customHeight="1">
      <c r="A465" s="292"/>
      <c r="B465" s="292"/>
      <c r="C465" s="292"/>
      <c r="D465" s="292"/>
    </row>
    <row r="466" spans="1:4" ht="25.5" customHeight="1">
      <c r="A466" s="289"/>
      <c r="B466" s="289"/>
      <c r="C466" s="289"/>
      <c r="D466" s="289"/>
    </row>
    <row r="467" spans="1:4" ht="18.75">
      <c r="A467" s="290"/>
      <c r="B467" s="290"/>
      <c r="C467" s="290"/>
      <c r="D467" s="290"/>
    </row>
    <row r="468" spans="1:4" ht="18" customHeight="1">
      <c r="A468" s="291"/>
      <c r="B468" s="291"/>
      <c r="C468" s="291"/>
      <c r="D468" s="291"/>
    </row>
    <row r="469" spans="1:4">
      <c r="A469" s="292"/>
      <c r="B469" s="292"/>
      <c r="C469" s="292"/>
      <c r="D469" s="292"/>
    </row>
    <row r="470" spans="1:4" ht="8.25" customHeight="1">
      <c r="A470" s="292"/>
      <c r="B470" s="292"/>
      <c r="C470" s="292"/>
      <c r="D470" s="292"/>
    </row>
    <row r="471" spans="1:4" ht="25.5" customHeight="1">
      <c r="A471" s="289"/>
      <c r="B471" s="289"/>
      <c r="C471" s="289"/>
      <c r="D471" s="289"/>
    </row>
    <row r="472" spans="1:4" ht="18.75">
      <c r="A472" s="290"/>
      <c r="B472" s="290"/>
      <c r="C472" s="290"/>
      <c r="D472" s="290"/>
    </row>
    <row r="473" spans="1:4" ht="18" customHeight="1">
      <c r="A473" s="291"/>
      <c r="B473" s="291"/>
      <c r="C473" s="291"/>
      <c r="D473" s="291"/>
    </row>
    <row r="474" spans="1:4">
      <c r="A474" s="292"/>
      <c r="B474" s="292"/>
      <c r="C474" s="292"/>
      <c r="D474" s="292"/>
    </row>
    <row r="475" spans="1:4" ht="9" customHeight="1">
      <c r="A475" s="292"/>
      <c r="B475" s="292"/>
      <c r="C475" s="292"/>
      <c r="D475" s="292"/>
    </row>
    <row r="476" spans="1:4" ht="25.5" customHeight="1">
      <c r="A476" s="289"/>
      <c r="B476" s="289"/>
      <c r="C476" s="289"/>
      <c r="D476" s="289"/>
    </row>
    <row r="477" spans="1:4" ht="18.75">
      <c r="A477" s="290"/>
      <c r="B477" s="290"/>
      <c r="C477" s="290"/>
      <c r="D477" s="290"/>
    </row>
    <row r="478" spans="1:4" ht="18" customHeight="1">
      <c r="A478" s="291"/>
      <c r="B478" s="291"/>
      <c r="C478" s="291"/>
      <c r="D478" s="291"/>
    </row>
    <row r="479" spans="1:4">
      <c r="A479" s="292"/>
      <c r="B479" s="292"/>
      <c r="C479" s="292"/>
      <c r="D479" s="292"/>
    </row>
    <row r="480" spans="1:4" ht="8.25" customHeight="1">
      <c r="A480" s="292"/>
      <c r="B480" s="292"/>
      <c r="C480" s="292"/>
      <c r="D480" s="292"/>
    </row>
    <row r="481" spans="1:4" ht="25.5" customHeight="1">
      <c r="A481" s="289"/>
      <c r="B481" s="289"/>
      <c r="C481" s="289"/>
      <c r="D481" s="289"/>
    </row>
    <row r="482" spans="1:4" ht="18.75">
      <c r="A482" s="290"/>
      <c r="B482" s="290"/>
      <c r="C482" s="290"/>
      <c r="D482" s="290"/>
    </row>
    <row r="483" spans="1:4" ht="18" customHeight="1">
      <c r="A483" s="291"/>
      <c r="B483" s="291"/>
      <c r="C483" s="291"/>
      <c r="D483" s="291"/>
    </row>
    <row r="484" spans="1:4">
      <c r="A484" s="292"/>
      <c r="B484" s="292"/>
      <c r="C484" s="292"/>
      <c r="D484" s="292"/>
    </row>
    <row r="485" spans="1:4" ht="8.25" customHeight="1">
      <c r="A485" s="292"/>
      <c r="B485" s="292"/>
      <c r="C485" s="292"/>
      <c r="D485" s="292"/>
    </row>
    <row r="486" spans="1:4" ht="25.5" customHeight="1">
      <c r="A486" s="289"/>
      <c r="B486" s="289"/>
      <c r="C486" s="289"/>
      <c r="D486" s="289"/>
    </row>
    <row r="487" spans="1:4" ht="18.75">
      <c r="A487" s="290"/>
      <c r="B487" s="290"/>
      <c r="C487" s="290"/>
      <c r="D487" s="290"/>
    </row>
    <row r="488" spans="1:4" ht="18" customHeight="1">
      <c r="A488" s="291"/>
      <c r="B488" s="291"/>
      <c r="C488" s="291"/>
      <c r="D488" s="291"/>
    </row>
    <row r="489" spans="1:4">
      <c r="A489" s="292"/>
      <c r="B489" s="292"/>
      <c r="C489" s="292"/>
      <c r="D489" s="292"/>
    </row>
    <row r="490" spans="1:4" ht="8.25" customHeight="1">
      <c r="A490" s="292"/>
      <c r="B490" s="292"/>
      <c r="C490" s="292"/>
      <c r="D490" s="292"/>
    </row>
    <row r="491" spans="1:4" ht="25.5" customHeight="1">
      <c r="A491" s="289"/>
      <c r="B491" s="289"/>
      <c r="C491" s="289"/>
      <c r="D491" s="289"/>
    </row>
    <row r="492" spans="1:4" ht="18.75">
      <c r="A492" s="290"/>
      <c r="B492" s="290"/>
      <c r="C492" s="290"/>
      <c r="D492" s="290"/>
    </row>
    <row r="493" spans="1:4" ht="18" customHeight="1">
      <c r="A493" s="291"/>
      <c r="B493" s="291"/>
      <c r="C493" s="291"/>
      <c r="D493" s="291"/>
    </row>
    <row r="494" spans="1:4">
      <c r="A494" s="292"/>
      <c r="B494" s="292"/>
      <c r="C494" s="292"/>
      <c r="D494" s="292"/>
    </row>
    <row r="495" spans="1:4" ht="8.25" customHeight="1">
      <c r="A495" s="292"/>
      <c r="B495" s="292"/>
      <c r="C495" s="292"/>
      <c r="D495" s="292"/>
    </row>
    <row r="496" spans="1:4" ht="25.5" customHeight="1">
      <c r="A496" s="289"/>
      <c r="B496" s="289"/>
      <c r="C496" s="289"/>
      <c r="D496" s="289"/>
    </row>
    <row r="497" spans="1:4" ht="18.75">
      <c r="A497" s="290"/>
      <c r="B497" s="290"/>
      <c r="C497" s="290"/>
      <c r="D497" s="290"/>
    </row>
    <row r="498" spans="1:4" ht="18" customHeight="1">
      <c r="A498" s="291"/>
      <c r="B498" s="291"/>
      <c r="C498" s="291"/>
      <c r="D498" s="291"/>
    </row>
    <row r="499" spans="1:4" ht="14.25" customHeight="1">
      <c r="A499" s="292"/>
      <c r="B499" s="291"/>
      <c r="C499" s="291"/>
      <c r="D499" s="291"/>
    </row>
    <row r="500" spans="1:4" ht="0.75" customHeight="1">
      <c r="A500" s="292"/>
      <c r="B500" s="292"/>
      <c r="C500" s="292"/>
      <c r="D500" s="292"/>
    </row>
    <row r="501" spans="1:4" ht="25.5" customHeight="1">
      <c r="A501" s="289"/>
      <c r="B501" s="289"/>
      <c r="C501" s="289"/>
      <c r="D501" s="289"/>
    </row>
    <row r="502" spans="1:4" ht="18.75">
      <c r="A502" s="290"/>
      <c r="B502" s="290"/>
      <c r="C502" s="290"/>
      <c r="D502" s="290"/>
    </row>
    <row r="503" spans="1:4" ht="18" customHeight="1">
      <c r="A503" s="291"/>
      <c r="B503" s="291"/>
      <c r="C503" s="291"/>
      <c r="D503" s="291"/>
    </row>
    <row r="504" spans="1:4">
      <c r="A504" s="292"/>
      <c r="B504" s="292"/>
      <c r="C504" s="292"/>
      <c r="D504" s="292"/>
    </row>
    <row r="505" spans="1:4" ht="7.5" customHeight="1">
      <c r="A505" s="294"/>
      <c r="B505" s="294"/>
      <c r="C505" s="294"/>
      <c r="D505" s="294"/>
    </row>
    <row r="506" spans="1:4" ht="25.5" customHeight="1">
      <c r="A506" s="289"/>
      <c r="B506" s="289"/>
      <c r="C506" s="289"/>
      <c r="D506" s="289"/>
    </row>
    <row r="507" spans="1:4" ht="18.75">
      <c r="A507" s="290"/>
      <c r="B507" s="290"/>
      <c r="C507" s="290"/>
      <c r="D507" s="290"/>
    </row>
    <row r="508" spans="1:4" ht="18" customHeight="1">
      <c r="A508" s="291"/>
      <c r="B508" s="291"/>
      <c r="C508" s="291"/>
      <c r="D508" s="291"/>
    </row>
    <row r="509" spans="1:4">
      <c r="A509" s="292"/>
      <c r="B509" s="292"/>
      <c r="C509" s="292"/>
      <c r="D509" s="292"/>
    </row>
    <row r="510" spans="1:4" ht="7.5" customHeight="1">
      <c r="A510" s="292"/>
      <c r="B510" s="292"/>
      <c r="C510" s="292"/>
      <c r="D510" s="292"/>
    </row>
    <row r="511" spans="1:4" ht="25.5" customHeight="1">
      <c r="A511" s="289"/>
      <c r="B511" s="289"/>
      <c r="C511" s="289"/>
      <c r="D511" s="289"/>
    </row>
    <row r="512" spans="1:4" ht="18.75">
      <c r="A512" s="290"/>
      <c r="B512" s="290"/>
      <c r="C512" s="290"/>
      <c r="D512" s="290"/>
    </row>
    <row r="513" spans="1:4" ht="18" customHeight="1">
      <c r="A513" s="291"/>
      <c r="B513" s="291"/>
      <c r="C513" s="291"/>
      <c r="D513" s="291"/>
    </row>
    <row r="514" spans="1:4">
      <c r="A514" s="292"/>
      <c r="B514" s="292"/>
      <c r="C514" s="292"/>
      <c r="D514" s="292"/>
    </row>
    <row r="515" spans="1:4" ht="7.5" customHeight="1">
      <c r="A515" s="292"/>
      <c r="B515" s="292"/>
      <c r="C515" s="292"/>
      <c r="D515" s="292"/>
    </row>
    <row r="516" spans="1:4" ht="25.5" customHeight="1">
      <c r="A516" s="289"/>
      <c r="B516" s="289"/>
      <c r="C516" s="289"/>
      <c r="D516" s="289"/>
    </row>
    <row r="517" spans="1:4" ht="18.75">
      <c r="A517" s="290"/>
      <c r="B517" s="290"/>
      <c r="C517" s="290"/>
      <c r="D517" s="290"/>
    </row>
    <row r="518" spans="1:4" ht="18" customHeight="1">
      <c r="A518" s="291"/>
      <c r="B518" s="291"/>
      <c r="C518" s="291"/>
      <c r="D518" s="291"/>
    </row>
    <row r="519" spans="1:4">
      <c r="A519" s="292"/>
      <c r="B519" s="292"/>
      <c r="C519" s="292"/>
      <c r="D519" s="292"/>
    </row>
    <row r="520" spans="1:4" ht="8.25" customHeight="1">
      <c r="A520" s="292"/>
      <c r="B520" s="292"/>
      <c r="C520" s="292"/>
      <c r="D520" s="292"/>
    </row>
    <row r="521" spans="1:4" ht="25.5" customHeight="1">
      <c r="A521" s="289"/>
      <c r="B521" s="289"/>
      <c r="C521" s="289"/>
      <c r="D521" s="289"/>
    </row>
    <row r="522" spans="1:4" ht="18.75">
      <c r="A522" s="290"/>
      <c r="B522" s="290"/>
      <c r="C522" s="290"/>
      <c r="D522" s="290"/>
    </row>
    <row r="523" spans="1:4" ht="18" customHeight="1">
      <c r="A523" s="291"/>
      <c r="B523" s="291"/>
      <c r="C523" s="291"/>
      <c r="D523" s="291"/>
    </row>
    <row r="524" spans="1:4">
      <c r="A524" s="292"/>
      <c r="B524" s="292"/>
      <c r="C524" s="292"/>
      <c r="D524" s="292"/>
    </row>
    <row r="525" spans="1:4" ht="9" customHeight="1">
      <c r="A525" s="292"/>
      <c r="B525" s="292"/>
      <c r="C525" s="292"/>
      <c r="D525" s="292"/>
    </row>
    <row r="526" spans="1:4" ht="25.5" customHeight="1">
      <c r="A526" s="289"/>
      <c r="B526" s="289"/>
      <c r="C526" s="289"/>
      <c r="D526" s="289"/>
    </row>
    <row r="527" spans="1:4" ht="18.75">
      <c r="A527" s="290"/>
      <c r="B527" s="290"/>
      <c r="C527" s="290"/>
      <c r="D527" s="290"/>
    </row>
    <row r="528" spans="1:4" ht="18" customHeight="1">
      <c r="A528" s="291"/>
      <c r="B528" s="291"/>
      <c r="C528" s="291"/>
      <c r="D528" s="291"/>
    </row>
    <row r="529" spans="1:4">
      <c r="A529" s="292"/>
      <c r="B529" s="292"/>
      <c r="C529" s="292"/>
      <c r="D529" s="292"/>
    </row>
    <row r="530" spans="1:4" ht="8.25" customHeight="1">
      <c r="A530" s="292"/>
      <c r="B530" s="292"/>
      <c r="C530" s="292"/>
      <c r="D530" s="292"/>
    </row>
    <row r="531" spans="1:4" ht="25.5" customHeight="1">
      <c r="A531" s="289"/>
      <c r="B531" s="289"/>
      <c r="C531" s="289"/>
      <c r="D531" s="289"/>
    </row>
    <row r="532" spans="1:4" ht="18.75">
      <c r="A532" s="290"/>
      <c r="B532" s="290"/>
      <c r="C532" s="290"/>
      <c r="D532" s="290"/>
    </row>
    <row r="533" spans="1:4" ht="18" customHeight="1">
      <c r="A533" s="291"/>
      <c r="B533" s="291"/>
      <c r="C533" s="291"/>
      <c r="D533" s="291"/>
    </row>
    <row r="534" spans="1:4">
      <c r="A534" s="292"/>
      <c r="B534" s="292"/>
      <c r="C534" s="292"/>
      <c r="D534" s="292"/>
    </row>
    <row r="535" spans="1:4" ht="8.25" customHeight="1">
      <c r="A535" s="292"/>
      <c r="B535" s="292"/>
      <c r="C535" s="292"/>
      <c r="D535" s="292"/>
    </row>
    <row r="536" spans="1:4" ht="25.5" customHeight="1">
      <c r="A536" s="289"/>
      <c r="B536" s="289"/>
      <c r="C536" s="289"/>
      <c r="D536" s="289"/>
    </row>
    <row r="537" spans="1:4" ht="18.75">
      <c r="A537" s="290"/>
      <c r="B537" s="290"/>
      <c r="C537" s="290"/>
      <c r="D537" s="290"/>
    </row>
    <row r="538" spans="1:4" ht="18" customHeight="1">
      <c r="A538" s="291"/>
      <c r="B538" s="291"/>
      <c r="C538" s="291"/>
      <c r="D538" s="291"/>
    </row>
    <row r="539" spans="1:4">
      <c r="A539" s="292"/>
      <c r="B539" s="292"/>
      <c r="C539" s="292"/>
      <c r="D539" s="292"/>
    </row>
    <row r="540" spans="1:4" ht="8.25" customHeight="1">
      <c r="A540" s="292"/>
      <c r="B540" s="292"/>
      <c r="C540" s="292"/>
      <c r="D540" s="292"/>
    </row>
    <row r="541" spans="1:4" ht="25.5" customHeight="1">
      <c r="A541" s="289"/>
      <c r="B541" s="289"/>
      <c r="C541" s="289"/>
      <c r="D541" s="289"/>
    </row>
    <row r="542" spans="1:4" ht="18.75">
      <c r="A542" s="290"/>
      <c r="B542" s="290"/>
      <c r="C542" s="290"/>
      <c r="D542" s="290"/>
    </row>
    <row r="543" spans="1:4" ht="18" customHeight="1">
      <c r="A543" s="291"/>
      <c r="B543" s="291"/>
      <c r="C543" s="291"/>
      <c r="D543" s="291"/>
    </row>
    <row r="544" spans="1:4">
      <c r="A544" s="292"/>
      <c r="B544" s="292"/>
      <c r="C544" s="292"/>
      <c r="D544" s="292"/>
    </row>
    <row r="545" spans="1:4" ht="8.25" customHeight="1">
      <c r="A545" s="292"/>
      <c r="B545" s="292"/>
      <c r="C545" s="292"/>
      <c r="D545" s="292"/>
    </row>
    <row r="546" spans="1:4" ht="25.5" customHeight="1">
      <c r="A546" s="289"/>
      <c r="B546" s="289"/>
      <c r="C546" s="289"/>
      <c r="D546" s="289"/>
    </row>
    <row r="547" spans="1:4" ht="18.75">
      <c r="A547" s="290"/>
      <c r="B547" s="290"/>
      <c r="C547" s="290"/>
      <c r="D547" s="290"/>
    </row>
    <row r="548" spans="1:4" ht="18" customHeight="1">
      <c r="A548" s="291"/>
      <c r="B548" s="291"/>
      <c r="C548" s="291"/>
      <c r="D548" s="291"/>
    </row>
    <row r="549" spans="1:4" ht="14.25" customHeight="1">
      <c r="A549" s="292"/>
      <c r="B549" s="291"/>
      <c r="C549" s="291"/>
      <c r="D549" s="291"/>
    </row>
    <row r="550" spans="1:4" ht="0.75" customHeight="1">
      <c r="A550" s="292"/>
      <c r="B550" s="292"/>
      <c r="C550" s="292"/>
      <c r="D550" s="292"/>
    </row>
    <row r="551" spans="1:4" ht="25.5" customHeight="1">
      <c r="A551" s="289"/>
      <c r="B551" s="289"/>
      <c r="C551" s="289"/>
      <c r="D551" s="289"/>
    </row>
    <row r="552" spans="1:4" ht="18.75">
      <c r="A552" s="290"/>
      <c r="B552" s="290"/>
      <c r="C552" s="290"/>
      <c r="D552" s="290"/>
    </row>
    <row r="553" spans="1:4" ht="18" customHeight="1">
      <c r="A553" s="291"/>
      <c r="B553" s="291"/>
      <c r="C553" s="291"/>
      <c r="D553" s="291"/>
    </row>
    <row r="554" spans="1:4">
      <c r="A554" s="292"/>
      <c r="B554" s="292"/>
      <c r="C554" s="292"/>
      <c r="D554" s="292"/>
    </row>
    <row r="555" spans="1:4" ht="7.5" customHeight="1">
      <c r="A555" s="294"/>
      <c r="B555" s="294"/>
      <c r="C555" s="294"/>
      <c r="D555" s="294"/>
    </row>
    <row r="556" spans="1:4" ht="25.5" customHeight="1">
      <c r="A556" s="289"/>
      <c r="B556" s="289"/>
      <c r="C556" s="289"/>
      <c r="D556" s="289"/>
    </row>
    <row r="557" spans="1:4" ht="18.75">
      <c r="A557" s="290"/>
      <c r="B557" s="290"/>
      <c r="C557" s="290"/>
      <c r="D557" s="290"/>
    </row>
    <row r="558" spans="1:4" ht="18" customHeight="1">
      <c r="A558" s="291"/>
      <c r="B558" s="291"/>
      <c r="C558" s="291"/>
      <c r="D558" s="291"/>
    </row>
    <row r="559" spans="1:4">
      <c r="A559" s="292"/>
      <c r="B559" s="292"/>
      <c r="C559" s="292"/>
      <c r="D559" s="292"/>
    </row>
    <row r="560" spans="1:4" ht="7.5" customHeight="1">
      <c r="A560" s="292"/>
      <c r="B560" s="292"/>
      <c r="C560" s="292"/>
      <c r="D560" s="292"/>
    </row>
    <row r="561" spans="1:4" ht="25.5" customHeight="1">
      <c r="A561" s="289"/>
      <c r="B561" s="289"/>
      <c r="C561" s="289"/>
      <c r="D561" s="289"/>
    </row>
    <row r="562" spans="1:4" ht="18.75">
      <c r="A562" s="290"/>
      <c r="B562" s="290"/>
      <c r="C562" s="290"/>
      <c r="D562" s="290"/>
    </row>
    <row r="563" spans="1:4" ht="18" customHeight="1">
      <c r="A563" s="291"/>
      <c r="B563" s="291"/>
      <c r="C563" s="291"/>
      <c r="D563" s="291"/>
    </row>
    <row r="564" spans="1:4">
      <c r="A564" s="292"/>
      <c r="B564" s="292"/>
      <c r="C564" s="292"/>
      <c r="D564" s="292"/>
    </row>
    <row r="565" spans="1:4" ht="7.5" customHeight="1">
      <c r="A565" s="292"/>
      <c r="B565" s="292"/>
      <c r="C565" s="292"/>
      <c r="D565" s="292"/>
    </row>
    <row r="566" spans="1:4" ht="25.5" customHeight="1">
      <c r="A566" s="289"/>
      <c r="B566" s="289"/>
      <c r="C566" s="289"/>
      <c r="D566" s="289"/>
    </row>
    <row r="567" spans="1:4" ht="18.75">
      <c r="A567" s="290"/>
      <c r="B567" s="290"/>
      <c r="C567" s="290"/>
      <c r="D567" s="290"/>
    </row>
    <row r="568" spans="1:4" ht="18" customHeight="1">
      <c r="A568" s="291"/>
      <c r="B568" s="291"/>
      <c r="C568" s="291"/>
      <c r="D568" s="291"/>
    </row>
    <row r="569" spans="1:4">
      <c r="A569" s="292"/>
      <c r="B569" s="292"/>
      <c r="C569" s="292"/>
      <c r="D569" s="292"/>
    </row>
    <row r="570" spans="1:4" ht="8.25" customHeight="1">
      <c r="A570" s="292"/>
      <c r="B570" s="292"/>
      <c r="C570" s="292"/>
      <c r="D570" s="292"/>
    </row>
    <row r="571" spans="1:4" ht="25.5" customHeight="1">
      <c r="A571" s="289"/>
      <c r="B571" s="289"/>
      <c r="C571" s="289"/>
      <c r="D571" s="289"/>
    </row>
    <row r="572" spans="1:4" ht="18.75">
      <c r="A572" s="290"/>
      <c r="B572" s="290"/>
      <c r="C572" s="290"/>
      <c r="D572" s="290"/>
    </row>
    <row r="573" spans="1:4" ht="18" customHeight="1">
      <c r="A573" s="291"/>
      <c r="B573" s="291"/>
      <c r="C573" s="291"/>
      <c r="D573" s="291"/>
    </row>
    <row r="574" spans="1:4">
      <c r="A574" s="292"/>
      <c r="B574" s="292"/>
      <c r="C574" s="292"/>
      <c r="D574" s="292"/>
    </row>
    <row r="575" spans="1:4" ht="9" customHeight="1">
      <c r="A575" s="292"/>
      <c r="B575" s="292"/>
      <c r="C575" s="292"/>
      <c r="D575" s="292"/>
    </row>
    <row r="576" spans="1:4" ht="25.5" customHeight="1">
      <c r="A576" s="289"/>
      <c r="B576" s="289"/>
      <c r="C576" s="289"/>
      <c r="D576" s="289"/>
    </row>
    <row r="577" spans="1:4" ht="18.75">
      <c r="A577" s="290"/>
      <c r="B577" s="290"/>
      <c r="C577" s="290"/>
      <c r="D577" s="290"/>
    </row>
    <row r="578" spans="1:4" ht="18" customHeight="1">
      <c r="A578" s="291"/>
      <c r="B578" s="291"/>
      <c r="C578" s="291"/>
      <c r="D578" s="291"/>
    </row>
    <row r="579" spans="1:4">
      <c r="A579" s="292"/>
      <c r="B579" s="292"/>
      <c r="C579" s="292"/>
      <c r="D579" s="292"/>
    </row>
    <row r="580" spans="1:4" ht="8.25" customHeight="1">
      <c r="A580" s="292"/>
      <c r="B580" s="292"/>
      <c r="C580" s="292"/>
      <c r="D580" s="292"/>
    </row>
    <row r="581" spans="1:4" ht="25.5" customHeight="1">
      <c r="A581" s="289"/>
      <c r="B581" s="289"/>
      <c r="C581" s="289"/>
      <c r="D581" s="289"/>
    </row>
    <row r="582" spans="1:4" ht="18.75">
      <c r="A582" s="290"/>
      <c r="B582" s="290"/>
      <c r="C582" s="290"/>
      <c r="D582" s="290"/>
    </row>
    <row r="583" spans="1:4" ht="18" customHeight="1">
      <c r="A583" s="291"/>
      <c r="B583" s="291"/>
      <c r="C583" s="291"/>
      <c r="D583" s="291"/>
    </row>
    <row r="584" spans="1:4">
      <c r="A584" s="292"/>
      <c r="B584" s="292"/>
      <c r="C584" s="292"/>
      <c r="D584" s="292"/>
    </row>
    <row r="585" spans="1:4" ht="8.25" customHeight="1">
      <c r="A585" s="292"/>
      <c r="B585" s="292"/>
      <c r="C585" s="292"/>
      <c r="D585" s="292"/>
    </row>
    <row r="586" spans="1:4" ht="25.5" customHeight="1">
      <c r="A586" s="289"/>
      <c r="B586" s="289"/>
      <c r="C586" s="289"/>
      <c r="D586" s="289"/>
    </row>
    <row r="587" spans="1:4" ht="18.75">
      <c r="A587" s="290"/>
      <c r="B587" s="290"/>
      <c r="C587" s="290"/>
      <c r="D587" s="290"/>
    </row>
    <row r="588" spans="1:4" ht="18" customHeight="1">
      <c r="A588" s="291"/>
      <c r="B588" s="291"/>
      <c r="C588" s="291"/>
      <c r="D588" s="291"/>
    </row>
    <row r="589" spans="1:4">
      <c r="A589" s="292"/>
      <c r="B589" s="292"/>
      <c r="C589" s="292"/>
      <c r="D589" s="292"/>
    </row>
    <row r="590" spans="1:4" ht="8.25" customHeight="1">
      <c r="A590" s="292"/>
      <c r="B590" s="292"/>
      <c r="C590" s="292"/>
      <c r="D590" s="292"/>
    </row>
    <row r="591" spans="1:4" ht="25.5" customHeight="1">
      <c r="A591" s="289"/>
      <c r="B591" s="289"/>
      <c r="C591" s="289"/>
      <c r="D591" s="289"/>
    </row>
    <row r="592" spans="1:4" ht="18.75">
      <c r="A592" s="290"/>
      <c r="B592" s="290"/>
      <c r="C592" s="290"/>
      <c r="D592" s="290"/>
    </row>
    <row r="593" spans="1:4" ht="18" customHeight="1">
      <c r="A593" s="291"/>
      <c r="B593" s="291"/>
      <c r="C593" s="291"/>
      <c r="D593" s="291"/>
    </row>
    <row r="594" spans="1:4">
      <c r="A594" s="292"/>
      <c r="B594" s="292"/>
      <c r="C594" s="292"/>
      <c r="D594" s="292"/>
    </row>
    <row r="595" spans="1:4" ht="8.25" customHeight="1">
      <c r="A595" s="292"/>
      <c r="B595" s="292"/>
      <c r="C595" s="292"/>
      <c r="D595" s="292"/>
    </row>
    <row r="596" spans="1:4" ht="25.5" customHeight="1">
      <c r="A596" s="289"/>
      <c r="B596" s="289"/>
      <c r="C596" s="289"/>
      <c r="D596" s="289"/>
    </row>
    <row r="597" spans="1:4" ht="18.75">
      <c r="A597" s="290"/>
      <c r="B597" s="290"/>
      <c r="C597" s="290"/>
      <c r="D597" s="290"/>
    </row>
    <row r="598" spans="1:4" ht="18" customHeight="1">
      <c r="A598" s="291"/>
      <c r="B598" s="291"/>
      <c r="C598" s="291"/>
      <c r="D598" s="291"/>
    </row>
    <row r="599" spans="1:4" ht="14.25" customHeight="1">
      <c r="A599" s="292"/>
      <c r="B599" s="291"/>
      <c r="C599" s="291"/>
      <c r="D599" s="291"/>
    </row>
    <row r="600" spans="1:4" ht="0.75" customHeight="1">
      <c r="A600" s="292"/>
      <c r="B600" s="292"/>
      <c r="C600" s="292"/>
      <c r="D600" s="292"/>
    </row>
    <row r="601" spans="1:4" ht="25.5" customHeight="1">
      <c r="A601" s="289"/>
      <c r="B601" s="289"/>
      <c r="C601" s="289"/>
      <c r="D601" s="289"/>
    </row>
    <row r="602" spans="1:4" ht="18.75">
      <c r="A602" s="290"/>
      <c r="B602" s="290"/>
      <c r="C602" s="290"/>
      <c r="D602" s="290"/>
    </row>
    <row r="603" spans="1:4" ht="18" customHeight="1">
      <c r="A603" s="291"/>
      <c r="B603" s="291"/>
      <c r="C603" s="291"/>
      <c r="D603" s="291"/>
    </row>
    <row r="604" spans="1:4">
      <c r="A604" s="292"/>
      <c r="B604" s="292"/>
      <c r="C604" s="292"/>
      <c r="D604" s="292"/>
    </row>
    <row r="605" spans="1:4" ht="7.5" customHeight="1">
      <c r="A605" s="294"/>
      <c r="B605" s="294"/>
      <c r="C605" s="294"/>
      <c r="D605" s="294"/>
    </row>
    <row r="606" spans="1:4" ht="25.5" customHeight="1">
      <c r="A606" s="289"/>
      <c r="B606" s="289"/>
      <c r="C606" s="289"/>
      <c r="D606" s="289"/>
    </row>
    <row r="607" spans="1:4" ht="18.75">
      <c r="A607" s="290"/>
      <c r="B607" s="290"/>
      <c r="C607" s="290"/>
      <c r="D607" s="290"/>
    </row>
    <row r="608" spans="1:4" ht="18" customHeight="1">
      <c r="A608" s="291"/>
      <c r="B608" s="291"/>
      <c r="C608" s="291"/>
      <c r="D608" s="291"/>
    </row>
    <row r="609" spans="1:4">
      <c r="A609" s="292"/>
      <c r="B609" s="292"/>
      <c r="C609" s="292"/>
      <c r="D609" s="292"/>
    </row>
    <row r="610" spans="1:4" ht="7.5" customHeight="1">
      <c r="A610" s="292"/>
      <c r="B610" s="292"/>
      <c r="C610" s="292"/>
      <c r="D610" s="292"/>
    </row>
    <row r="611" spans="1:4" ht="25.5" customHeight="1">
      <c r="A611" s="289"/>
      <c r="B611" s="289"/>
      <c r="C611" s="289"/>
      <c r="D611" s="289"/>
    </row>
    <row r="612" spans="1:4" ht="18.75">
      <c r="A612" s="290"/>
      <c r="B612" s="290"/>
      <c r="C612" s="290"/>
      <c r="D612" s="290"/>
    </row>
    <row r="613" spans="1:4" ht="18" customHeight="1">
      <c r="A613" s="291"/>
      <c r="B613" s="291"/>
      <c r="C613" s="291"/>
      <c r="D613" s="291"/>
    </row>
    <row r="614" spans="1:4">
      <c r="A614" s="292"/>
      <c r="B614" s="292"/>
      <c r="C614" s="292"/>
      <c r="D614" s="292"/>
    </row>
    <row r="615" spans="1:4" ht="7.5" customHeight="1">
      <c r="A615" s="292"/>
      <c r="B615" s="292"/>
      <c r="C615" s="292"/>
      <c r="D615" s="292"/>
    </row>
    <row r="616" spans="1:4" ht="25.5" customHeight="1">
      <c r="A616" s="289"/>
      <c r="B616" s="289"/>
      <c r="C616" s="289"/>
      <c r="D616" s="289"/>
    </row>
    <row r="617" spans="1:4" ht="18.75">
      <c r="A617" s="290"/>
      <c r="B617" s="290"/>
      <c r="C617" s="290"/>
      <c r="D617" s="290"/>
    </row>
    <row r="618" spans="1:4" ht="18" customHeight="1">
      <c r="A618" s="291"/>
      <c r="B618" s="291"/>
      <c r="C618" s="291"/>
      <c r="D618" s="291"/>
    </row>
    <row r="619" spans="1:4">
      <c r="A619" s="292"/>
      <c r="B619" s="292"/>
      <c r="C619" s="292"/>
      <c r="D619" s="292"/>
    </row>
    <row r="620" spans="1:4" ht="8.25" customHeight="1">
      <c r="A620" s="292"/>
      <c r="B620" s="292"/>
      <c r="C620" s="292"/>
      <c r="D620" s="292"/>
    </row>
    <row r="621" spans="1:4" ht="25.5" customHeight="1">
      <c r="A621" s="289"/>
      <c r="B621" s="289"/>
      <c r="C621" s="289"/>
      <c r="D621" s="289"/>
    </row>
    <row r="622" spans="1:4" ht="18.75">
      <c r="A622" s="290"/>
      <c r="B622" s="290"/>
      <c r="C622" s="290"/>
      <c r="D622" s="290"/>
    </row>
    <row r="623" spans="1:4" ht="18" customHeight="1">
      <c r="A623" s="291"/>
      <c r="B623" s="291"/>
      <c r="C623" s="291"/>
      <c r="D623" s="291"/>
    </row>
    <row r="624" spans="1:4">
      <c r="A624" s="292"/>
      <c r="B624" s="292"/>
      <c r="C624" s="292"/>
      <c r="D624" s="292"/>
    </row>
    <row r="625" spans="1:4" ht="9" customHeight="1">
      <c r="A625" s="292"/>
      <c r="B625" s="292"/>
      <c r="C625" s="292"/>
      <c r="D625" s="292"/>
    </row>
    <row r="626" spans="1:4" ht="25.5" customHeight="1">
      <c r="A626" s="289"/>
      <c r="B626" s="289"/>
      <c r="C626" s="289"/>
      <c r="D626" s="289"/>
    </row>
    <row r="627" spans="1:4" ht="18.75">
      <c r="A627" s="290"/>
      <c r="B627" s="290"/>
      <c r="C627" s="290"/>
      <c r="D627" s="290"/>
    </row>
    <row r="628" spans="1:4" ht="18" customHeight="1">
      <c r="A628" s="291"/>
      <c r="B628" s="291"/>
      <c r="C628" s="291"/>
      <c r="D628" s="291"/>
    </row>
    <row r="629" spans="1:4">
      <c r="A629" s="292"/>
      <c r="B629" s="292"/>
      <c r="C629" s="292"/>
      <c r="D629" s="292"/>
    </row>
    <row r="630" spans="1:4" ht="8.25" customHeight="1">
      <c r="A630" s="292"/>
      <c r="B630" s="292"/>
      <c r="C630" s="292"/>
      <c r="D630" s="292"/>
    </row>
    <row r="631" spans="1:4" ht="25.5" customHeight="1">
      <c r="A631" s="289"/>
      <c r="B631" s="289"/>
      <c r="C631" s="289"/>
      <c r="D631" s="289"/>
    </row>
    <row r="632" spans="1:4" ht="18.75">
      <c r="A632" s="290"/>
      <c r="B632" s="290"/>
      <c r="C632" s="290"/>
      <c r="D632" s="290"/>
    </row>
    <row r="633" spans="1:4" ht="18" customHeight="1">
      <c r="A633" s="291"/>
      <c r="B633" s="291"/>
      <c r="C633" s="291"/>
      <c r="D633" s="291"/>
    </row>
    <row r="634" spans="1:4">
      <c r="A634" s="292"/>
      <c r="B634" s="292"/>
      <c r="C634" s="292"/>
      <c r="D634" s="292"/>
    </row>
    <row r="635" spans="1:4" ht="8.25" customHeight="1">
      <c r="A635" s="292"/>
      <c r="B635" s="292"/>
      <c r="C635" s="292"/>
      <c r="D635" s="292"/>
    </row>
    <row r="636" spans="1:4" ht="25.5" customHeight="1">
      <c r="A636" s="289"/>
      <c r="B636" s="289"/>
      <c r="C636" s="289"/>
      <c r="D636" s="289"/>
    </row>
    <row r="637" spans="1:4" ht="18.75">
      <c r="A637" s="290"/>
      <c r="B637" s="290"/>
      <c r="C637" s="290"/>
      <c r="D637" s="290"/>
    </row>
    <row r="638" spans="1:4" ht="18" customHeight="1">
      <c r="A638" s="291"/>
      <c r="B638" s="291"/>
      <c r="C638" s="291"/>
      <c r="D638" s="291"/>
    </row>
    <row r="639" spans="1:4">
      <c r="A639" s="292"/>
      <c r="B639" s="292"/>
      <c r="C639" s="292"/>
      <c r="D639" s="292"/>
    </row>
    <row r="640" spans="1:4" ht="8.25" customHeight="1">
      <c r="A640" s="292"/>
      <c r="B640" s="292"/>
      <c r="C640" s="292"/>
      <c r="D640" s="292"/>
    </row>
    <row r="641" spans="1:4" ht="25.5" customHeight="1">
      <c r="A641" s="289"/>
      <c r="B641" s="289"/>
      <c r="C641" s="289"/>
      <c r="D641" s="289"/>
    </row>
    <row r="642" spans="1:4" ht="18.75">
      <c r="A642" s="290"/>
      <c r="B642" s="290"/>
      <c r="C642" s="290"/>
      <c r="D642" s="290"/>
    </row>
    <row r="643" spans="1:4" ht="18" customHeight="1">
      <c r="A643" s="291"/>
      <c r="B643" s="291"/>
      <c r="C643" s="291"/>
      <c r="D643" s="291"/>
    </row>
    <row r="644" spans="1:4">
      <c r="A644" s="292"/>
      <c r="B644" s="292"/>
      <c r="C644" s="292"/>
      <c r="D644" s="292"/>
    </row>
    <row r="645" spans="1:4" ht="8.25" customHeight="1">
      <c r="A645" s="292"/>
      <c r="B645" s="292"/>
      <c r="C645" s="292"/>
      <c r="D645" s="292"/>
    </row>
    <row r="646" spans="1:4" ht="25.5" customHeight="1">
      <c r="A646" s="289"/>
      <c r="B646" s="289"/>
      <c r="C646" s="289"/>
      <c r="D646" s="289"/>
    </row>
    <row r="647" spans="1:4" ht="18.75">
      <c r="A647" s="290"/>
      <c r="B647" s="290"/>
      <c r="C647" s="290"/>
      <c r="D647" s="290"/>
    </row>
    <row r="648" spans="1:4" ht="18" customHeight="1">
      <c r="A648" s="291"/>
      <c r="B648" s="291"/>
      <c r="C648" s="291"/>
      <c r="D648" s="291"/>
    </row>
    <row r="649" spans="1:4" ht="14.25" customHeight="1">
      <c r="A649" s="292"/>
      <c r="B649" s="291"/>
      <c r="C649" s="291"/>
      <c r="D649" s="291"/>
    </row>
    <row r="650" spans="1:4" ht="0.75" customHeight="1">
      <c r="A650" s="292"/>
      <c r="B650" s="292"/>
      <c r="C650" s="292"/>
      <c r="D650" s="292"/>
    </row>
    <row r="651" spans="1:4" ht="25.5" customHeight="1">
      <c r="A651" s="289"/>
      <c r="B651" s="289"/>
      <c r="C651" s="289"/>
      <c r="D651" s="289"/>
    </row>
    <row r="652" spans="1:4" ht="18.75">
      <c r="A652" s="290"/>
      <c r="B652" s="290"/>
      <c r="C652" s="290"/>
      <c r="D652" s="290"/>
    </row>
    <row r="653" spans="1:4" ht="18" customHeight="1">
      <c r="A653" s="291"/>
      <c r="B653" s="291"/>
      <c r="C653" s="291"/>
      <c r="D653" s="291"/>
    </row>
    <row r="654" spans="1:4">
      <c r="A654" s="292"/>
      <c r="B654" s="292"/>
      <c r="C654" s="292"/>
      <c r="D654" s="292"/>
    </row>
    <row r="655" spans="1:4" ht="7.5" customHeight="1">
      <c r="A655" s="294"/>
      <c r="B655" s="294"/>
      <c r="C655" s="294"/>
      <c r="D655" s="294"/>
    </row>
    <row r="656" spans="1:4" ht="25.5" customHeight="1">
      <c r="A656" s="289"/>
      <c r="B656" s="289"/>
      <c r="C656" s="289"/>
      <c r="D656" s="289"/>
    </row>
    <row r="657" spans="1:4" ht="18.75">
      <c r="A657" s="290"/>
      <c r="B657" s="290"/>
      <c r="C657" s="290"/>
      <c r="D657" s="290"/>
    </row>
    <row r="658" spans="1:4" ht="18" customHeight="1">
      <c r="A658" s="291"/>
      <c r="B658" s="291"/>
      <c r="C658" s="291"/>
      <c r="D658" s="291"/>
    </row>
    <row r="659" spans="1:4">
      <c r="A659" s="292"/>
      <c r="B659" s="292"/>
      <c r="C659" s="292"/>
      <c r="D659" s="292"/>
    </row>
    <row r="660" spans="1:4" ht="7.5" customHeight="1">
      <c r="A660" s="292"/>
      <c r="B660" s="292"/>
      <c r="C660" s="292"/>
      <c r="D660" s="292"/>
    </row>
    <row r="661" spans="1:4" ht="25.5" customHeight="1">
      <c r="A661" s="289"/>
      <c r="B661" s="289"/>
      <c r="C661" s="289"/>
      <c r="D661" s="289"/>
    </row>
    <row r="662" spans="1:4" ht="18.75">
      <c r="A662" s="290"/>
      <c r="B662" s="290"/>
      <c r="C662" s="290"/>
      <c r="D662" s="290"/>
    </row>
    <row r="663" spans="1:4" ht="18" customHeight="1">
      <c r="A663" s="291"/>
      <c r="B663" s="291"/>
      <c r="C663" s="291"/>
      <c r="D663" s="291"/>
    </row>
    <row r="664" spans="1:4">
      <c r="A664" s="292"/>
      <c r="B664" s="292"/>
      <c r="C664" s="292"/>
      <c r="D664" s="292"/>
    </row>
    <row r="665" spans="1:4" ht="7.5" customHeight="1">
      <c r="A665" s="292"/>
      <c r="B665" s="292"/>
      <c r="C665" s="292"/>
      <c r="D665" s="292"/>
    </row>
    <row r="666" spans="1:4" ht="25.5" customHeight="1">
      <c r="A666" s="289"/>
      <c r="B666" s="289"/>
      <c r="C666" s="289"/>
      <c r="D666" s="289"/>
    </row>
    <row r="667" spans="1:4" ht="18.75">
      <c r="A667" s="290"/>
      <c r="B667" s="290"/>
      <c r="C667" s="290"/>
      <c r="D667" s="290"/>
    </row>
    <row r="668" spans="1:4" ht="18" customHeight="1">
      <c r="A668" s="291"/>
      <c r="B668" s="291"/>
      <c r="C668" s="291"/>
      <c r="D668" s="291"/>
    </row>
    <row r="669" spans="1:4">
      <c r="A669" s="292"/>
      <c r="B669" s="292"/>
      <c r="C669" s="292"/>
      <c r="D669" s="292"/>
    </row>
    <row r="670" spans="1:4" ht="8.25" customHeight="1">
      <c r="A670" s="292"/>
      <c r="B670" s="292"/>
      <c r="C670" s="292"/>
      <c r="D670" s="292"/>
    </row>
    <row r="671" spans="1:4" ht="25.5" customHeight="1">
      <c r="A671" s="289"/>
      <c r="B671" s="289"/>
      <c r="C671" s="289"/>
      <c r="D671" s="289"/>
    </row>
    <row r="672" spans="1:4" ht="18.75">
      <c r="A672" s="290"/>
      <c r="B672" s="290"/>
      <c r="C672" s="290"/>
      <c r="D672" s="290"/>
    </row>
    <row r="673" spans="1:4" ht="18" customHeight="1">
      <c r="A673" s="291"/>
      <c r="B673" s="291"/>
      <c r="C673" s="291"/>
      <c r="D673" s="291"/>
    </row>
    <row r="674" spans="1:4">
      <c r="A674" s="292"/>
      <c r="B674" s="292"/>
      <c r="C674" s="292"/>
      <c r="D674" s="292"/>
    </row>
    <row r="675" spans="1:4" ht="9" customHeight="1">
      <c r="A675" s="292"/>
      <c r="B675" s="292"/>
      <c r="C675" s="292"/>
      <c r="D675" s="292"/>
    </row>
    <row r="676" spans="1:4" ht="25.5" customHeight="1">
      <c r="A676" s="289"/>
      <c r="B676" s="289"/>
      <c r="C676" s="289"/>
      <c r="D676" s="289"/>
    </row>
    <row r="677" spans="1:4" ht="18.75">
      <c r="A677" s="290"/>
      <c r="B677" s="290"/>
      <c r="C677" s="290"/>
      <c r="D677" s="290"/>
    </row>
    <row r="678" spans="1:4" ht="18" customHeight="1">
      <c r="A678" s="291"/>
      <c r="B678" s="291"/>
      <c r="C678" s="291"/>
      <c r="D678" s="291"/>
    </row>
    <row r="679" spans="1:4">
      <c r="A679" s="292"/>
      <c r="B679" s="292"/>
      <c r="C679" s="292"/>
      <c r="D679" s="292"/>
    </row>
    <row r="680" spans="1:4" ht="8.25" customHeight="1">
      <c r="A680" s="292"/>
      <c r="B680" s="292"/>
      <c r="C680" s="292"/>
      <c r="D680" s="292"/>
    </row>
    <row r="681" spans="1:4" ht="25.5" customHeight="1">
      <c r="A681" s="289"/>
      <c r="B681" s="289"/>
      <c r="C681" s="289"/>
      <c r="D681" s="289"/>
    </row>
    <row r="682" spans="1:4" ht="18.75">
      <c r="A682" s="290"/>
      <c r="B682" s="290"/>
      <c r="C682" s="290"/>
      <c r="D682" s="290"/>
    </row>
    <row r="683" spans="1:4" ht="18" customHeight="1">
      <c r="A683" s="291"/>
      <c r="B683" s="291"/>
      <c r="C683" s="291"/>
      <c r="D683" s="291"/>
    </row>
    <row r="684" spans="1:4">
      <c r="A684" s="292"/>
      <c r="B684" s="292"/>
      <c r="C684" s="292"/>
      <c r="D684" s="292"/>
    </row>
    <row r="685" spans="1:4" ht="8.25" customHeight="1">
      <c r="A685" s="292"/>
      <c r="B685" s="292"/>
      <c r="C685" s="292"/>
      <c r="D685" s="292"/>
    </row>
    <row r="686" spans="1:4" ht="25.5" customHeight="1">
      <c r="A686" s="289"/>
      <c r="B686" s="289"/>
      <c r="C686" s="289"/>
      <c r="D686" s="289"/>
    </row>
    <row r="687" spans="1:4" ht="18.75">
      <c r="A687" s="290"/>
      <c r="B687" s="290"/>
      <c r="C687" s="290"/>
      <c r="D687" s="290"/>
    </row>
    <row r="688" spans="1:4" ht="18" customHeight="1">
      <c r="A688" s="291"/>
      <c r="B688" s="291"/>
      <c r="C688" s="291"/>
      <c r="D688" s="291"/>
    </row>
    <row r="689" spans="1:4">
      <c r="A689" s="292"/>
      <c r="B689" s="292"/>
      <c r="C689" s="292"/>
      <c r="D689" s="292"/>
    </row>
    <row r="690" spans="1:4" ht="8.25" customHeight="1">
      <c r="A690" s="292"/>
      <c r="B690" s="292"/>
      <c r="C690" s="292"/>
      <c r="D690" s="292"/>
    </row>
    <row r="691" spans="1:4" ht="25.5" customHeight="1">
      <c r="A691" s="289"/>
      <c r="B691" s="289"/>
      <c r="C691" s="289"/>
      <c r="D691" s="289"/>
    </row>
    <row r="692" spans="1:4" ht="18.75">
      <c r="A692" s="290"/>
      <c r="B692" s="290"/>
      <c r="C692" s="290"/>
      <c r="D692" s="290"/>
    </row>
    <row r="693" spans="1:4" ht="18" customHeight="1">
      <c r="A693" s="291"/>
      <c r="B693" s="291"/>
      <c r="C693" s="291"/>
      <c r="D693" s="291"/>
    </row>
    <row r="694" spans="1:4">
      <c r="A694" s="292"/>
      <c r="B694" s="292"/>
      <c r="C694" s="292"/>
      <c r="D694" s="292"/>
    </row>
    <row r="695" spans="1:4" ht="8.25" customHeight="1">
      <c r="A695" s="292"/>
      <c r="B695" s="292"/>
      <c r="C695" s="292"/>
      <c r="D695" s="292"/>
    </row>
    <row r="696" spans="1:4" ht="25.5" customHeight="1">
      <c r="A696" s="289"/>
      <c r="B696" s="289"/>
      <c r="C696" s="289"/>
      <c r="D696" s="289"/>
    </row>
    <row r="697" spans="1:4" ht="18.75">
      <c r="A697" s="290"/>
      <c r="B697" s="290"/>
      <c r="C697" s="290"/>
      <c r="D697" s="290"/>
    </row>
    <row r="698" spans="1:4" ht="18" customHeight="1">
      <c r="A698" s="291"/>
      <c r="B698" s="291"/>
      <c r="C698" s="291"/>
      <c r="D698" s="291"/>
    </row>
    <row r="699" spans="1:4" ht="14.25" customHeight="1">
      <c r="A699" s="292"/>
      <c r="B699" s="291"/>
      <c r="C699" s="291"/>
      <c r="D699" s="291"/>
    </row>
    <row r="700" spans="1:4" ht="0.75" customHeight="1">
      <c r="A700" s="292"/>
      <c r="B700" s="292"/>
      <c r="C700" s="292"/>
      <c r="D700" s="292"/>
    </row>
    <row r="701" spans="1:4" ht="25.5" customHeight="1">
      <c r="A701" s="289"/>
      <c r="B701" s="289"/>
      <c r="C701" s="289"/>
      <c r="D701" s="289"/>
    </row>
    <row r="702" spans="1:4" ht="18.75">
      <c r="A702" s="290"/>
      <c r="B702" s="290"/>
      <c r="C702" s="290"/>
      <c r="D702" s="290"/>
    </row>
    <row r="703" spans="1:4" ht="18" customHeight="1">
      <c r="A703" s="291"/>
      <c r="B703" s="291"/>
      <c r="C703" s="291"/>
      <c r="D703" s="291"/>
    </row>
    <row r="704" spans="1:4">
      <c r="A704" s="292"/>
      <c r="B704" s="292"/>
      <c r="C704" s="292"/>
      <c r="D704" s="292"/>
    </row>
    <row r="705" spans="1:4" ht="7.5" customHeight="1">
      <c r="A705" s="294"/>
      <c r="B705" s="294"/>
      <c r="C705" s="294"/>
      <c r="D705" s="294"/>
    </row>
    <row r="706" spans="1:4" ht="25.5" customHeight="1">
      <c r="A706" s="289"/>
      <c r="B706" s="289"/>
      <c r="C706" s="289"/>
      <c r="D706" s="289"/>
    </row>
    <row r="707" spans="1:4" ht="18.75">
      <c r="A707" s="290"/>
      <c r="B707" s="290"/>
      <c r="C707" s="290"/>
      <c r="D707" s="290"/>
    </row>
    <row r="708" spans="1:4" ht="18" customHeight="1">
      <c r="A708" s="291"/>
      <c r="B708" s="291"/>
      <c r="C708" s="291"/>
      <c r="D708" s="291"/>
    </row>
    <row r="709" spans="1:4">
      <c r="A709" s="292"/>
      <c r="B709" s="292"/>
      <c r="C709" s="292"/>
      <c r="D709" s="292"/>
    </row>
    <row r="710" spans="1:4" ht="7.5" customHeight="1">
      <c r="A710" s="292"/>
      <c r="B710" s="292"/>
      <c r="C710" s="292"/>
      <c r="D710" s="292"/>
    </row>
    <row r="711" spans="1:4" ht="25.5" customHeight="1">
      <c r="A711" s="289"/>
      <c r="B711" s="289"/>
      <c r="C711" s="289"/>
      <c r="D711" s="289"/>
    </row>
    <row r="712" spans="1:4" ht="18.75">
      <c r="A712" s="290"/>
      <c r="B712" s="290"/>
      <c r="C712" s="290"/>
      <c r="D712" s="290"/>
    </row>
    <row r="713" spans="1:4" ht="18" customHeight="1">
      <c r="A713" s="291"/>
      <c r="B713" s="291"/>
      <c r="C713" s="291"/>
      <c r="D713" s="291"/>
    </row>
    <row r="714" spans="1:4">
      <c r="A714" s="292"/>
      <c r="B714" s="292"/>
      <c r="C714" s="292"/>
      <c r="D714" s="292"/>
    </row>
    <row r="715" spans="1:4" ht="7.5" customHeight="1">
      <c r="A715" s="292"/>
      <c r="B715" s="292"/>
      <c r="C715" s="292"/>
      <c r="D715" s="292"/>
    </row>
    <row r="716" spans="1:4" ht="25.5" customHeight="1">
      <c r="A716" s="289"/>
      <c r="B716" s="289"/>
      <c r="C716" s="289"/>
      <c r="D716" s="289"/>
    </row>
    <row r="717" spans="1:4" ht="18.75">
      <c r="A717" s="290"/>
      <c r="B717" s="290"/>
      <c r="C717" s="290"/>
      <c r="D717" s="290"/>
    </row>
    <row r="718" spans="1:4" ht="18" customHeight="1">
      <c r="A718" s="291"/>
      <c r="B718" s="291"/>
      <c r="C718" s="291"/>
      <c r="D718" s="291"/>
    </row>
    <row r="719" spans="1:4">
      <c r="A719" s="292"/>
      <c r="B719" s="292"/>
      <c r="C719" s="292"/>
      <c r="D719" s="292"/>
    </row>
    <row r="720" spans="1:4" ht="8.25" customHeight="1">
      <c r="A720" s="292"/>
      <c r="B720" s="292"/>
      <c r="C720" s="292"/>
      <c r="D720" s="292"/>
    </row>
    <row r="721" spans="1:4" ht="25.5" customHeight="1">
      <c r="A721" s="289"/>
      <c r="B721" s="289"/>
      <c r="C721" s="289"/>
      <c r="D721" s="289"/>
    </row>
    <row r="722" spans="1:4" ht="18.75">
      <c r="A722" s="290"/>
      <c r="B722" s="290"/>
      <c r="C722" s="290"/>
      <c r="D722" s="290"/>
    </row>
    <row r="723" spans="1:4" ht="18" customHeight="1">
      <c r="A723" s="291"/>
      <c r="B723" s="291"/>
      <c r="C723" s="291"/>
      <c r="D723" s="291"/>
    </row>
    <row r="724" spans="1:4">
      <c r="A724" s="292"/>
      <c r="B724" s="292"/>
      <c r="C724" s="292"/>
      <c r="D724" s="292"/>
    </row>
    <row r="725" spans="1:4" ht="9" customHeight="1">
      <c r="A725" s="292"/>
      <c r="B725" s="292"/>
      <c r="C725" s="292"/>
      <c r="D725" s="292"/>
    </row>
    <row r="726" spans="1:4" ht="25.5" customHeight="1">
      <c r="A726" s="289"/>
      <c r="B726" s="289"/>
      <c r="C726" s="289"/>
      <c r="D726" s="289"/>
    </row>
    <row r="727" spans="1:4" ht="18.75">
      <c r="A727" s="290"/>
      <c r="B727" s="290"/>
      <c r="C727" s="290"/>
      <c r="D727" s="290"/>
    </row>
    <row r="728" spans="1:4" ht="18" customHeight="1">
      <c r="A728" s="291"/>
      <c r="B728" s="291"/>
      <c r="C728" s="291"/>
      <c r="D728" s="291"/>
    </row>
    <row r="729" spans="1:4">
      <c r="A729" s="292"/>
      <c r="B729" s="292"/>
      <c r="C729" s="292"/>
      <c r="D729" s="292"/>
    </row>
    <row r="730" spans="1:4" ht="8.25" customHeight="1">
      <c r="A730" s="292"/>
      <c r="B730" s="292"/>
      <c r="C730" s="292"/>
      <c r="D730" s="292"/>
    </row>
    <row r="731" spans="1:4" ht="25.5" customHeight="1">
      <c r="A731" s="289"/>
      <c r="B731" s="289"/>
      <c r="C731" s="289"/>
      <c r="D731" s="289"/>
    </row>
    <row r="732" spans="1:4" ht="18.75">
      <c r="A732" s="290"/>
      <c r="B732" s="290"/>
      <c r="C732" s="290"/>
      <c r="D732" s="290"/>
    </row>
    <row r="733" spans="1:4" ht="18" customHeight="1">
      <c r="A733" s="291"/>
      <c r="B733" s="291"/>
      <c r="C733" s="291"/>
      <c r="D733" s="291"/>
    </row>
    <row r="734" spans="1:4">
      <c r="A734" s="292"/>
      <c r="B734" s="292"/>
      <c r="C734" s="292"/>
      <c r="D734" s="292"/>
    </row>
    <row r="735" spans="1:4" ht="8.25" customHeight="1">
      <c r="A735" s="292"/>
      <c r="B735" s="292"/>
      <c r="C735" s="292"/>
      <c r="D735" s="292"/>
    </row>
    <row r="736" spans="1:4" ht="25.5" customHeight="1">
      <c r="A736" s="289"/>
      <c r="B736" s="289"/>
      <c r="C736" s="289"/>
      <c r="D736" s="289"/>
    </row>
    <row r="737" spans="1:4" ht="18.75">
      <c r="A737" s="290"/>
      <c r="B737" s="290"/>
      <c r="C737" s="290"/>
      <c r="D737" s="290"/>
    </row>
    <row r="738" spans="1:4" ht="18" customHeight="1">
      <c r="A738" s="291"/>
      <c r="B738" s="291"/>
      <c r="C738" s="291"/>
      <c r="D738" s="291"/>
    </row>
    <row r="739" spans="1:4">
      <c r="A739" s="292"/>
      <c r="B739" s="292"/>
      <c r="C739" s="292"/>
      <c r="D739" s="292"/>
    </row>
    <row r="740" spans="1:4" ht="8.25" customHeight="1">
      <c r="A740" s="292"/>
      <c r="B740" s="292"/>
      <c r="C740" s="292"/>
      <c r="D740" s="292"/>
    </row>
    <row r="741" spans="1:4" ht="25.5" customHeight="1">
      <c r="A741" s="289"/>
      <c r="B741" s="289"/>
      <c r="C741" s="289"/>
      <c r="D741" s="289"/>
    </row>
    <row r="742" spans="1:4" ht="18.75">
      <c r="A742" s="290"/>
      <c r="B742" s="290"/>
      <c r="C742" s="290"/>
      <c r="D742" s="290"/>
    </row>
    <row r="743" spans="1:4" ht="18" customHeight="1">
      <c r="A743" s="291"/>
      <c r="B743" s="291"/>
      <c r="C743" s="291"/>
      <c r="D743" s="291"/>
    </row>
    <row r="744" spans="1:4">
      <c r="A744" s="292"/>
      <c r="B744" s="292"/>
      <c r="C744" s="292"/>
      <c r="D744" s="292"/>
    </row>
    <row r="745" spans="1:4" ht="8.25" customHeight="1">
      <c r="A745" s="292"/>
      <c r="B745" s="292"/>
      <c r="C745" s="292"/>
      <c r="D745" s="292"/>
    </row>
    <row r="746" spans="1:4" ht="25.5" customHeight="1">
      <c r="A746" s="289"/>
      <c r="B746" s="289"/>
      <c r="C746" s="289"/>
      <c r="D746" s="289"/>
    </row>
    <row r="747" spans="1:4" ht="18.75">
      <c r="A747" s="290"/>
      <c r="B747" s="290"/>
      <c r="C747" s="290"/>
      <c r="D747" s="290"/>
    </row>
    <row r="748" spans="1:4" ht="18" customHeight="1">
      <c r="A748" s="291"/>
      <c r="B748" s="291"/>
      <c r="C748" s="291"/>
      <c r="D748" s="291"/>
    </row>
    <row r="749" spans="1:4" ht="14.25" customHeight="1">
      <c r="A749" s="292"/>
      <c r="B749" s="291"/>
      <c r="C749" s="291"/>
      <c r="D749" s="291"/>
    </row>
    <row r="750" spans="1:4" ht="0.75" customHeight="1">
      <c r="A750" s="292"/>
      <c r="B750" s="292"/>
      <c r="C750" s="292"/>
      <c r="D750" s="292"/>
    </row>
    <row r="751" spans="1:4" ht="25.5" customHeight="1">
      <c r="A751" s="289"/>
      <c r="B751" s="289"/>
      <c r="C751" s="289"/>
      <c r="D751" s="289"/>
    </row>
    <row r="752" spans="1:4" ht="18.75">
      <c r="A752" s="290"/>
      <c r="B752" s="290"/>
      <c r="C752" s="290"/>
      <c r="D752" s="290"/>
    </row>
    <row r="753" spans="1:4" ht="18" customHeight="1">
      <c r="A753" s="291"/>
      <c r="B753" s="291"/>
      <c r="C753" s="291"/>
      <c r="D753" s="291"/>
    </row>
    <row r="754" spans="1:4">
      <c r="A754" s="292"/>
      <c r="B754" s="292"/>
      <c r="C754" s="292"/>
      <c r="D754" s="292"/>
    </row>
    <row r="755" spans="1:4" ht="7.5" customHeight="1">
      <c r="A755" s="294"/>
      <c r="B755" s="294"/>
      <c r="C755" s="294"/>
      <c r="D755" s="294"/>
    </row>
    <row r="756" spans="1:4" ht="25.5" customHeight="1">
      <c r="A756" s="289"/>
      <c r="B756" s="289"/>
      <c r="C756" s="289"/>
      <c r="D756" s="289"/>
    </row>
    <row r="757" spans="1:4" ht="18.75">
      <c r="A757" s="290"/>
      <c r="B757" s="290"/>
      <c r="C757" s="290"/>
      <c r="D757" s="290"/>
    </row>
    <row r="758" spans="1:4" ht="18" customHeight="1">
      <c r="A758" s="291"/>
      <c r="B758" s="291"/>
      <c r="C758" s="291"/>
      <c r="D758" s="291"/>
    </row>
    <row r="759" spans="1:4">
      <c r="A759" s="292"/>
      <c r="B759" s="292"/>
      <c r="C759" s="292"/>
      <c r="D759" s="292"/>
    </row>
    <row r="760" spans="1:4" ht="7.5" customHeight="1">
      <c r="A760" s="292"/>
      <c r="B760" s="292"/>
      <c r="C760" s="292"/>
      <c r="D760" s="292"/>
    </row>
    <row r="761" spans="1:4" ht="25.5" customHeight="1">
      <c r="A761" s="289"/>
      <c r="B761" s="289"/>
      <c r="C761" s="289"/>
      <c r="D761" s="289"/>
    </row>
    <row r="762" spans="1:4" ht="18.75">
      <c r="A762" s="290"/>
      <c r="B762" s="290"/>
      <c r="C762" s="290"/>
      <c r="D762" s="290"/>
    </row>
    <row r="763" spans="1:4" ht="18" customHeight="1">
      <c r="A763" s="291"/>
      <c r="B763" s="291"/>
      <c r="C763" s="291"/>
      <c r="D763" s="291"/>
    </row>
    <row r="764" spans="1:4">
      <c r="A764" s="292"/>
      <c r="B764" s="292"/>
      <c r="C764" s="292"/>
      <c r="D764" s="292"/>
    </row>
    <row r="765" spans="1:4" ht="7.5" customHeight="1">
      <c r="A765" s="292"/>
      <c r="B765" s="292"/>
      <c r="C765" s="292"/>
      <c r="D765" s="292"/>
    </row>
    <row r="766" spans="1:4" ht="25.5" customHeight="1">
      <c r="A766" s="289"/>
      <c r="B766" s="289"/>
      <c r="C766" s="289"/>
      <c r="D766" s="289"/>
    </row>
    <row r="767" spans="1:4" ht="18.75">
      <c r="A767" s="290"/>
      <c r="B767" s="290"/>
      <c r="C767" s="290"/>
      <c r="D767" s="290"/>
    </row>
    <row r="768" spans="1:4" ht="18" customHeight="1">
      <c r="A768" s="291"/>
      <c r="B768" s="291"/>
      <c r="C768" s="291"/>
      <c r="D768" s="291"/>
    </row>
    <row r="769" spans="1:4">
      <c r="A769" s="292"/>
      <c r="B769" s="292"/>
      <c r="C769" s="292"/>
      <c r="D769" s="292"/>
    </row>
    <row r="770" spans="1:4" ht="8.25" customHeight="1">
      <c r="A770" s="292"/>
      <c r="B770" s="292"/>
      <c r="C770" s="292"/>
      <c r="D770" s="292"/>
    </row>
    <row r="771" spans="1:4" ht="25.5" customHeight="1">
      <c r="A771" s="289"/>
      <c r="B771" s="289"/>
      <c r="C771" s="289"/>
      <c r="D771" s="289"/>
    </row>
    <row r="772" spans="1:4" ht="18.75">
      <c r="A772" s="290"/>
      <c r="B772" s="290"/>
      <c r="C772" s="290"/>
      <c r="D772" s="290"/>
    </row>
    <row r="773" spans="1:4" ht="18" customHeight="1">
      <c r="A773" s="291"/>
      <c r="B773" s="291"/>
      <c r="C773" s="291"/>
      <c r="D773" s="291"/>
    </row>
    <row r="774" spans="1:4">
      <c r="A774" s="292"/>
      <c r="B774" s="292"/>
      <c r="C774" s="292"/>
      <c r="D774" s="292"/>
    </row>
    <row r="775" spans="1:4" ht="9" customHeight="1">
      <c r="A775" s="292"/>
      <c r="B775" s="292"/>
      <c r="C775" s="292"/>
      <c r="D775" s="292"/>
    </row>
    <row r="776" spans="1:4" ht="25.5" customHeight="1">
      <c r="A776" s="289"/>
      <c r="B776" s="289"/>
      <c r="C776" s="289"/>
      <c r="D776" s="289"/>
    </row>
    <row r="777" spans="1:4" ht="18.75">
      <c r="A777" s="290"/>
      <c r="B777" s="290"/>
      <c r="C777" s="290"/>
      <c r="D777" s="290"/>
    </row>
    <row r="778" spans="1:4" ht="18" customHeight="1">
      <c r="A778" s="291"/>
      <c r="B778" s="291"/>
      <c r="C778" s="291"/>
      <c r="D778" s="291"/>
    </row>
    <row r="779" spans="1:4">
      <c r="A779" s="292"/>
      <c r="B779" s="292"/>
      <c r="C779" s="292"/>
      <c r="D779" s="292"/>
    </row>
    <row r="780" spans="1:4" ht="8.25" customHeight="1">
      <c r="A780" s="292"/>
      <c r="B780" s="292"/>
      <c r="C780" s="292"/>
      <c r="D780" s="292"/>
    </row>
    <row r="781" spans="1:4" ht="25.5" customHeight="1">
      <c r="A781" s="289"/>
      <c r="B781" s="289"/>
      <c r="C781" s="289"/>
      <c r="D781" s="289"/>
    </row>
    <row r="782" spans="1:4" ht="18.75">
      <c r="A782" s="290"/>
      <c r="B782" s="290"/>
      <c r="C782" s="290"/>
      <c r="D782" s="290"/>
    </row>
    <row r="783" spans="1:4" ht="18" customHeight="1">
      <c r="A783" s="291"/>
      <c r="B783" s="291"/>
      <c r="C783" s="291"/>
      <c r="D783" s="291"/>
    </row>
    <row r="784" spans="1:4">
      <c r="A784" s="292"/>
      <c r="B784" s="292"/>
      <c r="C784" s="292"/>
      <c r="D784" s="292"/>
    </row>
    <row r="785" spans="1:4" ht="8.25" customHeight="1">
      <c r="A785" s="292"/>
      <c r="B785" s="292"/>
      <c r="C785" s="292"/>
      <c r="D785" s="292"/>
    </row>
    <row r="786" spans="1:4" ht="25.5" customHeight="1">
      <c r="A786" s="289"/>
      <c r="B786" s="289"/>
      <c r="C786" s="289"/>
      <c r="D786" s="289"/>
    </row>
    <row r="787" spans="1:4" ht="18.75">
      <c r="A787" s="290"/>
      <c r="B787" s="290"/>
      <c r="C787" s="290"/>
      <c r="D787" s="290"/>
    </row>
    <row r="788" spans="1:4" ht="18" customHeight="1">
      <c r="A788" s="291"/>
      <c r="B788" s="291"/>
      <c r="C788" s="291"/>
      <c r="D788" s="291"/>
    </row>
    <row r="789" spans="1:4">
      <c r="A789" s="292"/>
      <c r="B789" s="292"/>
      <c r="C789" s="292"/>
      <c r="D789" s="292"/>
    </row>
    <row r="790" spans="1:4" ht="8.25" customHeight="1">
      <c r="A790" s="292"/>
      <c r="B790" s="292"/>
      <c r="C790" s="292"/>
      <c r="D790" s="292"/>
    </row>
    <row r="791" spans="1:4" ht="25.5" customHeight="1">
      <c r="A791" s="289"/>
      <c r="B791" s="289"/>
      <c r="C791" s="289"/>
      <c r="D791" s="289"/>
    </row>
    <row r="792" spans="1:4" ht="18.75">
      <c r="A792" s="290"/>
      <c r="B792" s="290"/>
      <c r="C792" s="290"/>
      <c r="D792" s="290"/>
    </row>
    <row r="793" spans="1:4" ht="18" customHeight="1">
      <c r="A793" s="291"/>
      <c r="B793" s="291"/>
      <c r="C793" s="291"/>
      <c r="D793" s="291"/>
    </row>
    <row r="794" spans="1:4">
      <c r="A794" s="292"/>
      <c r="B794" s="292"/>
      <c r="C794" s="292"/>
      <c r="D794" s="292"/>
    </row>
    <row r="795" spans="1:4" ht="8.25" customHeight="1">
      <c r="A795" s="292"/>
      <c r="B795" s="292"/>
      <c r="C795" s="292"/>
      <c r="D795" s="292"/>
    </row>
    <row r="796" spans="1:4" ht="25.5" customHeight="1">
      <c r="A796" s="289"/>
      <c r="B796" s="289"/>
      <c r="C796" s="289"/>
      <c r="D796" s="289"/>
    </row>
    <row r="797" spans="1:4" ht="18.75">
      <c r="A797" s="290"/>
      <c r="B797" s="290"/>
      <c r="C797" s="290"/>
      <c r="D797" s="290"/>
    </row>
    <row r="798" spans="1:4" ht="18" customHeight="1">
      <c r="A798" s="291"/>
      <c r="B798" s="291"/>
      <c r="C798" s="291"/>
      <c r="D798" s="291"/>
    </row>
    <row r="799" spans="1:4" ht="14.25" customHeight="1">
      <c r="A799" s="292"/>
      <c r="B799" s="291"/>
      <c r="C799" s="291"/>
      <c r="D799" s="291"/>
    </row>
    <row r="800" spans="1:4" ht="0.75" customHeight="1">
      <c r="A800" s="292"/>
      <c r="B800" s="292"/>
      <c r="C800" s="292"/>
      <c r="D800" s="292"/>
    </row>
    <row r="801" spans="1:4" ht="25.5" customHeight="1">
      <c r="A801" s="289"/>
      <c r="B801" s="289"/>
      <c r="C801" s="289"/>
      <c r="D801" s="289"/>
    </row>
    <row r="802" spans="1:4" ht="18.75">
      <c r="A802" s="290"/>
      <c r="B802" s="290"/>
      <c r="C802" s="290"/>
      <c r="D802" s="290"/>
    </row>
    <row r="803" spans="1:4" ht="18" customHeight="1">
      <c r="A803" s="291"/>
      <c r="B803" s="291"/>
      <c r="C803" s="291"/>
      <c r="D803" s="291"/>
    </row>
    <row r="804" spans="1:4">
      <c r="A804" s="292"/>
      <c r="B804" s="292"/>
      <c r="C804" s="292"/>
      <c r="D804" s="292"/>
    </row>
    <row r="805" spans="1:4" ht="7.5" customHeight="1">
      <c r="A805" s="294"/>
      <c r="B805" s="294"/>
      <c r="C805" s="294"/>
      <c r="D805" s="294"/>
    </row>
    <row r="806" spans="1:4" ht="25.5" customHeight="1">
      <c r="A806" s="289"/>
      <c r="B806" s="289"/>
      <c r="C806" s="289"/>
      <c r="D806" s="289"/>
    </row>
    <row r="807" spans="1:4" ht="18.75">
      <c r="A807" s="290"/>
      <c r="B807" s="290"/>
      <c r="C807" s="290"/>
      <c r="D807" s="290"/>
    </row>
    <row r="808" spans="1:4" ht="18" customHeight="1">
      <c r="A808" s="291"/>
      <c r="B808" s="291"/>
      <c r="C808" s="291"/>
      <c r="D808" s="291"/>
    </row>
    <row r="809" spans="1:4">
      <c r="A809" s="292"/>
      <c r="B809" s="292"/>
      <c r="C809" s="292"/>
      <c r="D809" s="292"/>
    </row>
    <row r="810" spans="1:4" ht="7.5" customHeight="1">
      <c r="A810" s="292"/>
      <c r="B810" s="292"/>
      <c r="C810" s="292"/>
      <c r="D810" s="292"/>
    </row>
    <row r="811" spans="1:4" ht="25.5" customHeight="1">
      <c r="A811" s="289"/>
      <c r="B811" s="289"/>
      <c r="C811" s="289"/>
      <c r="D811" s="289"/>
    </row>
    <row r="812" spans="1:4" ht="18.75">
      <c r="A812" s="290"/>
      <c r="B812" s="290"/>
      <c r="C812" s="290"/>
      <c r="D812" s="290"/>
    </row>
    <row r="813" spans="1:4" ht="18" customHeight="1">
      <c r="A813" s="291"/>
      <c r="B813" s="291"/>
      <c r="C813" s="291"/>
      <c r="D813" s="291"/>
    </row>
    <row r="814" spans="1:4">
      <c r="A814" s="292"/>
      <c r="B814" s="292"/>
      <c r="C814" s="292"/>
      <c r="D814" s="292"/>
    </row>
    <row r="815" spans="1:4" ht="7.5" customHeight="1">
      <c r="A815" s="292"/>
      <c r="B815" s="292"/>
      <c r="C815" s="292"/>
      <c r="D815" s="292"/>
    </row>
    <row r="816" spans="1:4" ht="25.5" customHeight="1">
      <c r="A816" s="289"/>
      <c r="B816" s="289"/>
      <c r="C816" s="289"/>
      <c r="D816" s="289"/>
    </row>
    <row r="817" spans="1:4" ht="18.75">
      <c r="A817" s="290"/>
      <c r="B817" s="290"/>
      <c r="C817" s="290"/>
      <c r="D817" s="290"/>
    </row>
    <row r="818" spans="1:4" ht="18" customHeight="1">
      <c r="A818" s="291"/>
      <c r="B818" s="291"/>
      <c r="C818" s="291"/>
      <c r="D818" s="291"/>
    </row>
    <row r="819" spans="1:4">
      <c r="A819" s="292"/>
      <c r="B819" s="292"/>
      <c r="C819" s="292"/>
      <c r="D819" s="292"/>
    </row>
    <row r="820" spans="1:4" ht="8.25" customHeight="1">
      <c r="A820" s="292"/>
      <c r="B820" s="292"/>
      <c r="C820" s="292"/>
      <c r="D820" s="292"/>
    </row>
    <row r="821" spans="1:4" ht="25.5" customHeight="1">
      <c r="A821" s="289"/>
      <c r="B821" s="289"/>
      <c r="C821" s="289"/>
      <c r="D821" s="289"/>
    </row>
    <row r="822" spans="1:4" ht="18.75">
      <c r="A822" s="290"/>
      <c r="B822" s="290"/>
      <c r="C822" s="290"/>
      <c r="D822" s="290"/>
    </row>
    <row r="823" spans="1:4" ht="18" customHeight="1">
      <c r="A823" s="291"/>
      <c r="B823" s="291"/>
      <c r="C823" s="291"/>
      <c r="D823" s="291"/>
    </row>
    <row r="824" spans="1:4">
      <c r="A824" s="292"/>
      <c r="B824" s="292"/>
      <c r="C824" s="292"/>
      <c r="D824" s="292"/>
    </row>
    <row r="825" spans="1:4" ht="9" customHeight="1">
      <c r="A825" s="292"/>
      <c r="B825" s="292"/>
      <c r="C825" s="292"/>
      <c r="D825" s="292"/>
    </row>
    <row r="826" spans="1:4" ht="25.5" customHeight="1">
      <c r="A826" s="289"/>
      <c r="B826" s="289"/>
      <c r="C826" s="289"/>
      <c r="D826" s="289"/>
    </row>
    <row r="827" spans="1:4" ht="18.75">
      <c r="A827" s="290"/>
      <c r="B827" s="290"/>
      <c r="C827" s="290"/>
      <c r="D827" s="290"/>
    </row>
    <row r="828" spans="1:4" ht="18" customHeight="1">
      <c r="A828" s="291"/>
      <c r="B828" s="291"/>
      <c r="C828" s="291"/>
      <c r="D828" s="291"/>
    </row>
    <row r="829" spans="1:4">
      <c r="A829" s="292"/>
      <c r="B829" s="292"/>
      <c r="C829" s="292"/>
      <c r="D829" s="292"/>
    </row>
    <row r="830" spans="1:4" ht="8.25" customHeight="1">
      <c r="A830" s="292"/>
      <c r="B830" s="292"/>
      <c r="C830" s="292"/>
      <c r="D830" s="292"/>
    </row>
    <row r="831" spans="1:4" ht="25.5" customHeight="1">
      <c r="A831" s="289"/>
      <c r="B831" s="289"/>
      <c r="C831" s="289"/>
      <c r="D831" s="289"/>
    </row>
    <row r="832" spans="1:4" ht="18.75">
      <c r="A832" s="290"/>
      <c r="B832" s="290"/>
      <c r="C832" s="290"/>
      <c r="D832" s="290"/>
    </row>
    <row r="833" spans="1:4" ht="18" customHeight="1">
      <c r="A833" s="291"/>
      <c r="B833" s="291"/>
      <c r="C833" s="291"/>
      <c r="D833" s="291"/>
    </row>
    <row r="834" spans="1:4">
      <c r="A834" s="292"/>
      <c r="B834" s="292"/>
      <c r="C834" s="292"/>
      <c r="D834" s="292"/>
    </row>
    <row r="835" spans="1:4" ht="8.25" customHeight="1">
      <c r="A835" s="292"/>
      <c r="B835" s="292"/>
      <c r="C835" s="292"/>
      <c r="D835" s="292"/>
    </row>
    <row r="836" spans="1:4" ht="25.5" customHeight="1">
      <c r="A836" s="289"/>
      <c r="B836" s="289"/>
      <c r="C836" s="289"/>
      <c r="D836" s="289"/>
    </row>
    <row r="837" spans="1:4" ht="18.75">
      <c r="A837" s="290"/>
      <c r="B837" s="290"/>
      <c r="C837" s="290"/>
      <c r="D837" s="290"/>
    </row>
    <row r="838" spans="1:4" ht="18" customHeight="1">
      <c r="A838" s="291"/>
      <c r="B838" s="291"/>
      <c r="C838" s="291"/>
      <c r="D838" s="291"/>
    </row>
    <row r="839" spans="1:4">
      <c r="A839" s="292"/>
      <c r="B839" s="292"/>
      <c r="C839" s="292"/>
      <c r="D839" s="292"/>
    </row>
    <row r="840" spans="1:4" ht="8.25" customHeight="1">
      <c r="A840" s="292"/>
      <c r="B840" s="292"/>
      <c r="C840" s="292"/>
      <c r="D840" s="292"/>
    </row>
    <row r="841" spans="1:4" ht="25.5" customHeight="1">
      <c r="A841" s="289"/>
      <c r="B841" s="289"/>
      <c r="C841" s="289"/>
      <c r="D841" s="289"/>
    </row>
    <row r="842" spans="1:4" ht="18.75">
      <c r="A842" s="290"/>
      <c r="B842" s="290"/>
      <c r="C842" s="290"/>
      <c r="D842" s="290"/>
    </row>
    <row r="843" spans="1:4" ht="18" customHeight="1">
      <c r="A843" s="291"/>
      <c r="B843" s="291"/>
      <c r="C843" s="291"/>
      <c r="D843" s="291"/>
    </row>
    <row r="844" spans="1:4">
      <c r="A844" s="292"/>
      <c r="B844" s="292"/>
      <c r="C844" s="292"/>
      <c r="D844" s="292"/>
    </row>
    <row r="845" spans="1:4" ht="8.25" customHeight="1">
      <c r="A845" s="292"/>
      <c r="B845" s="292"/>
      <c r="C845" s="292"/>
      <c r="D845" s="292"/>
    </row>
    <row r="846" spans="1:4" ht="25.5" customHeight="1">
      <c r="A846" s="289"/>
      <c r="B846" s="289"/>
      <c r="C846" s="289"/>
      <c r="D846" s="289"/>
    </row>
    <row r="847" spans="1:4" ht="18.75">
      <c r="A847" s="290"/>
      <c r="B847" s="290"/>
      <c r="C847" s="290"/>
      <c r="D847" s="290"/>
    </row>
    <row r="848" spans="1:4" ht="18" customHeight="1">
      <c r="A848" s="291"/>
      <c r="B848" s="291"/>
      <c r="C848" s="291"/>
      <c r="D848" s="291"/>
    </row>
    <row r="849" spans="1:4" ht="14.25" customHeight="1">
      <c r="A849" s="292"/>
      <c r="B849" s="291"/>
      <c r="C849" s="291"/>
      <c r="D849" s="291"/>
    </row>
    <row r="850" spans="1:4" ht="0.75" customHeight="1">
      <c r="A850" s="292"/>
      <c r="B850" s="292"/>
      <c r="C850" s="292"/>
      <c r="D850" s="292"/>
    </row>
    <row r="851" spans="1:4" ht="25.5" customHeight="1">
      <c r="A851" s="289"/>
      <c r="B851" s="289"/>
      <c r="C851" s="289"/>
      <c r="D851" s="289"/>
    </row>
    <row r="852" spans="1:4" ht="18.75">
      <c r="A852" s="290"/>
      <c r="B852" s="290"/>
      <c r="C852" s="290"/>
      <c r="D852" s="290"/>
    </row>
    <row r="853" spans="1:4" ht="18" customHeight="1">
      <c r="A853" s="291"/>
      <c r="B853" s="291"/>
      <c r="C853" s="291"/>
      <c r="D853" s="291"/>
    </row>
    <row r="854" spans="1:4">
      <c r="A854" s="292"/>
      <c r="B854" s="292"/>
      <c r="C854" s="292"/>
      <c r="D854" s="292"/>
    </row>
    <row r="855" spans="1:4" ht="7.5" customHeight="1">
      <c r="A855" s="294"/>
      <c r="B855" s="294"/>
      <c r="C855" s="294"/>
      <c r="D855" s="294"/>
    </row>
    <row r="856" spans="1:4" ht="25.5" customHeight="1">
      <c r="A856" s="289"/>
      <c r="B856" s="289"/>
      <c r="C856" s="289"/>
      <c r="D856" s="289"/>
    </row>
    <row r="857" spans="1:4" ht="18.75">
      <c r="A857" s="290"/>
      <c r="B857" s="290"/>
      <c r="C857" s="290"/>
      <c r="D857" s="290"/>
    </row>
    <row r="858" spans="1:4" ht="18" customHeight="1">
      <c r="A858" s="291"/>
      <c r="B858" s="291"/>
      <c r="C858" s="291"/>
      <c r="D858" s="291"/>
    </row>
    <row r="859" spans="1:4">
      <c r="A859" s="292"/>
      <c r="B859" s="292"/>
      <c r="C859" s="292"/>
      <c r="D859" s="292"/>
    </row>
    <row r="860" spans="1:4" ht="7.5" customHeight="1">
      <c r="A860" s="292"/>
      <c r="B860" s="292"/>
      <c r="C860" s="292"/>
      <c r="D860" s="292"/>
    </row>
    <row r="861" spans="1:4" ht="25.5" customHeight="1">
      <c r="A861" s="289"/>
      <c r="B861" s="289"/>
      <c r="C861" s="289"/>
      <c r="D861" s="289"/>
    </row>
    <row r="862" spans="1:4" ht="18.75">
      <c r="A862" s="290"/>
      <c r="B862" s="290"/>
      <c r="C862" s="290"/>
      <c r="D862" s="290"/>
    </row>
    <row r="863" spans="1:4" ht="18" customHeight="1">
      <c r="A863" s="291"/>
      <c r="B863" s="291"/>
      <c r="C863" s="291"/>
      <c r="D863" s="291"/>
    </row>
    <row r="864" spans="1:4">
      <c r="A864" s="292"/>
      <c r="B864" s="292"/>
      <c r="C864" s="292"/>
      <c r="D864" s="292"/>
    </row>
    <row r="865" spans="1:4" ht="7.5" customHeight="1">
      <c r="A865" s="292"/>
      <c r="B865" s="292"/>
      <c r="C865" s="292"/>
      <c r="D865" s="292"/>
    </row>
    <row r="866" spans="1:4" ht="25.5" customHeight="1">
      <c r="A866" s="289"/>
      <c r="B866" s="289"/>
      <c r="C866" s="289"/>
      <c r="D866" s="289"/>
    </row>
    <row r="867" spans="1:4" ht="18.75">
      <c r="A867" s="290"/>
      <c r="B867" s="290"/>
      <c r="C867" s="290"/>
      <c r="D867" s="290"/>
    </row>
    <row r="868" spans="1:4" ht="18" customHeight="1">
      <c r="A868" s="291"/>
      <c r="B868" s="291"/>
      <c r="C868" s="291"/>
      <c r="D868" s="291"/>
    </row>
    <row r="869" spans="1:4">
      <c r="A869" s="292"/>
      <c r="B869" s="292"/>
      <c r="C869" s="292"/>
      <c r="D869" s="292"/>
    </row>
    <row r="870" spans="1:4" ht="8.25" customHeight="1">
      <c r="A870" s="292"/>
      <c r="B870" s="292"/>
      <c r="C870" s="292"/>
      <c r="D870" s="292"/>
    </row>
    <row r="871" spans="1:4" ht="25.5" customHeight="1">
      <c r="A871" s="289"/>
      <c r="B871" s="289"/>
      <c r="C871" s="289"/>
      <c r="D871" s="289"/>
    </row>
    <row r="872" spans="1:4" ht="18.75">
      <c r="A872" s="290"/>
      <c r="B872" s="290"/>
      <c r="C872" s="290"/>
      <c r="D872" s="290"/>
    </row>
    <row r="873" spans="1:4" ht="18" customHeight="1">
      <c r="A873" s="291"/>
      <c r="B873" s="291"/>
      <c r="C873" s="291"/>
      <c r="D873" s="291"/>
    </row>
    <row r="874" spans="1:4">
      <c r="A874" s="292"/>
      <c r="B874" s="292"/>
      <c r="C874" s="292"/>
      <c r="D874" s="292"/>
    </row>
    <row r="875" spans="1:4" ht="9" customHeight="1">
      <c r="A875" s="292"/>
      <c r="B875" s="292"/>
      <c r="C875" s="292"/>
      <c r="D875" s="292"/>
    </row>
    <row r="876" spans="1:4" ht="25.5" customHeight="1">
      <c r="A876" s="289"/>
      <c r="B876" s="289"/>
      <c r="C876" s="289"/>
      <c r="D876" s="289"/>
    </row>
    <row r="877" spans="1:4" ht="18.75">
      <c r="A877" s="290"/>
      <c r="B877" s="290"/>
      <c r="C877" s="290"/>
      <c r="D877" s="290"/>
    </row>
    <row r="878" spans="1:4" ht="18" customHeight="1">
      <c r="A878" s="291"/>
      <c r="B878" s="291"/>
      <c r="C878" s="291"/>
      <c r="D878" s="291"/>
    </row>
    <row r="879" spans="1:4">
      <c r="A879" s="292"/>
      <c r="B879" s="292"/>
      <c r="C879" s="292"/>
      <c r="D879" s="292"/>
    </row>
    <row r="880" spans="1:4" ht="8.25" customHeight="1">
      <c r="A880" s="292"/>
      <c r="B880" s="292"/>
      <c r="C880" s="292"/>
      <c r="D880" s="292"/>
    </row>
    <row r="881" spans="1:4" ht="25.5" customHeight="1">
      <c r="A881" s="289"/>
      <c r="B881" s="289"/>
      <c r="C881" s="289"/>
      <c r="D881" s="289"/>
    </row>
    <row r="882" spans="1:4" ht="18.75">
      <c r="A882" s="290"/>
      <c r="B882" s="290"/>
      <c r="C882" s="290"/>
      <c r="D882" s="290"/>
    </row>
    <row r="883" spans="1:4" ht="18" customHeight="1">
      <c r="A883" s="291"/>
      <c r="B883" s="291"/>
      <c r="C883" s="291"/>
      <c r="D883" s="291"/>
    </row>
    <row r="884" spans="1:4">
      <c r="A884" s="292"/>
      <c r="B884" s="292"/>
      <c r="C884" s="292"/>
      <c r="D884" s="292"/>
    </row>
    <row r="885" spans="1:4" ht="8.25" customHeight="1">
      <c r="A885" s="292"/>
      <c r="B885" s="292"/>
      <c r="C885" s="292"/>
      <c r="D885" s="292"/>
    </row>
    <row r="886" spans="1:4" ht="25.5" customHeight="1">
      <c r="A886" s="289"/>
      <c r="B886" s="289"/>
      <c r="C886" s="289"/>
      <c r="D886" s="289"/>
    </row>
    <row r="887" spans="1:4" ht="18.75">
      <c r="A887" s="290"/>
      <c r="B887" s="290"/>
      <c r="C887" s="290"/>
      <c r="D887" s="290"/>
    </row>
    <row r="888" spans="1:4" ht="18" customHeight="1">
      <c r="A888" s="291"/>
      <c r="B888" s="291"/>
      <c r="C888" s="291"/>
      <c r="D888" s="291"/>
    </row>
    <row r="889" spans="1:4">
      <c r="A889" s="292"/>
      <c r="B889" s="292"/>
      <c r="C889" s="292"/>
      <c r="D889" s="292"/>
    </row>
    <row r="890" spans="1:4" ht="8.25" customHeight="1">
      <c r="A890" s="292"/>
      <c r="B890" s="292"/>
      <c r="C890" s="292"/>
      <c r="D890" s="292"/>
    </row>
    <row r="891" spans="1:4" ht="25.5" customHeight="1">
      <c r="A891" s="289"/>
      <c r="B891" s="289"/>
      <c r="C891" s="289"/>
      <c r="D891" s="289"/>
    </row>
    <row r="892" spans="1:4" ht="18.75">
      <c r="A892" s="290"/>
      <c r="B892" s="290"/>
      <c r="C892" s="290"/>
      <c r="D892" s="290"/>
    </row>
    <row r="893" spans="1:4" ht="18" customHeight="1">
      <c r="A893" s="291"/>
      <c r="B893" s="291"/>
      <c r="C893" s="291"/>
      <c r="D893" s="291"/>
    </row>
    <row r="894" spans="1:4">
      <c r="A894" s="292"/>
      <c r="B894" s="292"/>
      <c r="C894" s="292"/>
      <c r="D894" s="292"/>
    </row>
    <row r="895" spans="1:4" ht="8.25" customHeight="1">
      <c r="A895" s="292"/>
      <c r="B895" s="292"/>
      <c r="C895" s="292"/>
      <c r="D895" s="292"/>
    </row>
    <row r="896" spans="1:4" ht="25.5" customHeight="1">
      <c r="A896" s="289"/>
      <c r="B896" s="289"/>
      <c r="C896" s="289"/>
      <c r="D896" s="289"/>
    </row>
    <row r="897" spans="1:4" ht="18.75">
      <c r="A897" s="290"/>
      <c r="B897" s="290"/>
      <c r="C897" s="290"/>
      <c r="D897" s="290"/>
    </row>
    <row r="898" spans="1:4" ht="18" customHeight="1">
      <c r="A898" s="291"/>
      <c r="B898" s="291"/>
      <c r="C898" s="291"/>
      <c r="D898" s="291"/>
    </row>
    <row r="899" spans="1:4" ht="14.25" customHeight="1">
      <c r="A899" s="292"/>
      <c r="B899" s="291"/>
      <c r="C899" s="291"/>
      <c r="D899" s="291"/>
    </row>
    <row r="900" spans="1:4" ht="0.75" customHeight="1">
      <c r="A900" s="292"/>
      <c r="B900" s="292"/>
      <c r="C900" s="292"/>
      <c r="D900" s="292"/>
    </row>
    <row r="901" spans="1:4" ht="25.5" customHeight="1">
      <c r="A901" s="289"/>
      <c r="B901" s="289"/>
      <c r="C901" s="289"/>
      <c r="D901" s="289"/>
    </row>
    <row r="902" spans="1:4" ht="18.75">
      <c r="A902" s="290"/>
      <c r="B902" s="290"/>
      <c r="C902" s="290"/>
      <c r="D902" s="290"/>
    </row>
    <row r="903" spans="1:4" ht="18" customHeight="1">
      <c r="A903" s="291"/>
      <c r="B903" s="291"/>
      <c r="C903" s="291"/>
      <c r="D903" s="291"/>
    </row>
    <row r="904" spans="1:4">
      <c r="A904" s="292"/>
      <c r="B904" s="292"/>
      <c r="C904" s="292"/>
      <c r="D904" s="292"/>
    </row>
    <row r="905" spans="1:4" ht="7.5" customHeight="1">
      <c r="A905" s="294"/>
      <c r="B905" s="294"/>
      <c r="C905" s="294"/>
      <c r="D905" s="294"/>
    </row>
    <row r="906" spans="1:4" ht="25.5" customHeight="1">
      <c r="A906" s="289"/>
      <c r="B906" s="289"/>
      <c r="C906" s="289"/>
      <c r="D906" s="289"/>
    </row>
    <row r="907" spans="1:4" ht="18.75">
      <c r="A907" s="290"/>
      <c r="B907" s="290"/>
      <c r="C907" s="290"/>
      <c r="D907" s="290"/>
    </row>
    <row r="908" spans="1:4" ht="18" customHeight="1">
      <c r="A908" s="291"/>
      <c r="B908" s="291"/>
      <c r="C908" s="291"/>
      <c r="D908" s="291"/>
    </row>
    <row r="909" spans="1:4">
      <c r="A909" s="292"/>
      <c r="B909" s="292"/>
      <c r="C909" s="292"/>
      <c r="D909" s="292"/>
    </row>
    <row r="910" spans="1:4" ht="7.5" customHeight="1">
      <c r="A910" s="292"/>
      <c r="B910" s="292"/>
      <c r="C910" s="292"/>
      <c r="D910" s="292"/>
    </row>
    <row r="911" spans="1:4" ht="25.5" customHeight="1">
      <c r="A911" s="289"/>
      <c r="B911" s="289"/>
      <c r="C911" s="289"/>
      <c r="D911" s="289"/>
    </row>
    <row r="912" spans="1:4" ht="18.75">
      <c r="A912" s="290"/>
      <c r="B912" s="290"/>
      <c r="C912" s="290"/>
      <c r="D912" s="290"/>
    </row>
    <row r="913" spans="1:4" ht="18" customHeight="1">
      <c r="A913" s="291"/>
      <c r="B913" s="291"/>
      <c r="C913" s="291"/>
      <c r="D913" s="291"/>
    </row>
    <row r="914" spans="1:4">
      <c r="A914" s="292"/>
      <c r="B914" s="292"/>
      <c r="C914" s="292"/>
      <c r="D914" s="292"/>
    </row>
    <row r="915" spans="1:4" ht="7.5" customHeight="1">
      <c r="A915" s="292"/>
      <c r="B915" s="292"/>
      <c r="C915" s="292"/>
      <c r="D915" s="292"/>
    </row>
    <row r="916" spans="1:4" ht="25.5" customHeight="1">
      <c r="A916" s="289"/>
      <c r="B916" s="289"/>
      <c r="C916" s="289"/>
      <c r="D916" s="289"/>
    </row>
    <row r="917" spans="1:4" ht="18.75">
      <c r="A917" s="290"/>
      <c r="B917" s="290"/>
      <c r="C917" s="290"/>
      <c r="D917" s="290"/>
    </row>
    <row r="918" spans="1:4" ht="18" customHeight="1">
      <c r="A918" s="291"/>
      <c r="B918" s="291"/>
      <c r="C918" s="291"/>
      <c r="D918" s="291"/>
    </row>
    <row r="919" spans="1:4">
      <c r="A919" s="292"/>
      <c r="B919" s="292"/>
      <c r="C919" s="292"/>
      <c r="D919" s="292"/>
    </row>
    <row r="920" spans="1:4" ht="8.25" customHeight="1">
      <c r="A920" s="292"/>
      <c r="B920" s="292"/>
      <c r="C920" s="292"/>
      <c r="D920" s="292"/>
    </row>
    <row r="921" spans="1:4" ht="25.5" customHeight="1">
      <c r="A921" s="289"/>
      <c r="B921" s="289"/>
      <c r="C921" s="289"/>
      <c r="D921" s="289"/>
    </row>
    <row r="922" spans="1:4" ht="18.75">
      <c r="A922" s="290"/>
      <c r="B922" s="290"/>
      <c r="C922" s="290"/>
      <c r="D922" s="290"/>
    </row>
    <row r="923" spans="1:4" ht="18" customHeight="1">
      <c r="A923" s="291"/>
      <c r="B923" s="291"/>
      <c r="C923" s="291"/>
      <c r="D923" s="291"/>
    </row>
    <row r="924" spans="1:4">
      <c r="A924" s="292"/>
      <c r="B924" s="292"/>
      <c r="C924" s="292"/>
      <c r="D924" s="292"/>
    </row>
    <row r="925" spans="1:4" ht="9" customHeight="1">
      <c r="A925" s="292"/>
      <c r="B925" s="292"/>
      <c r="C925" s="292"/>
      <c r="D925" s="292"/>
    </row>
    <row r="926" spans="1:4" ht="25.5" customHeight="1">
      <c r="A926" s="289"/>
      <c r="B926" s="289"/>
      <c r="C926" s="289"/>
      <c r="D926" s="289"/>
    </row>
    <row r="927" spans="1:4" ht="18.75">
      <c r="A927" s="290"/>
      <c r="B927" s="290"/>
      <c r="C927" s="290"/>
      <c r="D927" s="290"/>
    </row>
    <row r="928" spans="1:4" ht="18" customHeight="1">
      <c r="A928" s="291"/>
      <c r="B928" s="291"/>
      <c r="C928" s="291"/>
      <c r="D928" s="291"/>
    </row>
    <row r="929" spans="1:4">
      <c r="A929" s="292"/>
      <c r="B929" s="292"/>
      <c r="C929" s="292"/>
      <c r="D929" s="292"/>
    </row>
    <row r="930" spans="1:4" ht="8.25" customHeight="1">
      <c r="A930" s="292"/>
      <c r="B930" s="292"/>
      <c r="C930" s="292"/>
      <c r="D930" s="292"/>
    </row>
    <row r="931" spans="1:4" ht="25.5" customHeight="1">
      <c r="A931" s="289"/>
      <c r="B931" s="289"/>
      <c r="C931" s="289"/>
      <c r="D931" s="289"/>
    </row>
    <row r="932" spans="1:4" ht="18.75">
      <c r="A932" s="290"/>
      <c r="B932" s="290"/>
      <c r="C932" s="290"/>
      <c r="D932" s="290"/>
    </row>
    <row r="933" spans="1:4" ht="18" customHeight="1">
      <c r="A933" s="291"/>
      <c r="B933" s="291"/>
      <c r="C933" s="291"/>
      <c r="D933" s="291"/>
    </row>
    <row r="934" spans="1:4">
      <c r="A934" s="292"/>
      <c r="B934" s="292"/>
      <c r="C934" s="292"/>
      <c r="D934" s="292"/>
    </row>
    <row r="935" spans="1:4" ht="8.25" customHeight="1">
      <c r="A935" s="292"/>
      <c r="B935" s="292"/>
      <c r="C935" s="292"/>
      <c r="D935" s="292"/>
    </row>
    <row r="936" spans="1:4" ht="25.5" customHeight="1">
      <c r="A936" s="289"/>
      <c r="B936" s="289"/>
      <c r="C936" s="289"/>
      <c r="D936" s="289"/>
    </row>
    <row r="937" spans="1:4" ht="18.75">
      <c r="A937" s="290"/>
      <c r="B937" s="290"/>
      <c r="C937" s="290"/>
      <c r="D937" s="290"/>
    </row>
    <row r="938" spans="1:4" ht="18" customHeight="1">
      <c r="A938" s="291"/>
      <c r="B938" s="291"/>
      <c r="C938" s="291"/>
      <c r="D938" s="291"/>
    </row>
    <row r="939" spans="1:4">
      <c r="A939" s="292"/>
      <c r="B939" s="292"/>
      <c r="C939" s="292"/>
      <c r="D939" s="292"/>
    </row>
    <row r="940" spans="1:4" ht="8.25" customHeight="1">
      <c r="A940" s="292"/>
      <c r="B940" s="292"/>
      <c r="C940" s="292"/>
      <c r="D940" s="292"/>
    </row>
    <row r="941" spans="1:4" ht="25.5" customHeight="1">
      <c r="A941" s="289"/>
      <c r="B941" s="289"/>
      <c r="C941" s="289"/>
      <c r="D941" s="289"/>
    </row>
    <row r="942" spans="1:4" ht="18.75">
      <c r="A942" s="290"/>
      <c r="B942" s="290"/>
      <c r="C942" s="290"/>
      <c r="D942" s="290"/>
    </row>
    <row r="943" spans="1:4" ht="18" customHeight="1">
      <c r="A943" s="291"/>
      <c r="B943" s="291"/>
      <c r="C943" s="291"/>
      <c r="D943" s="291"/>
    </row>
    <row r="944" spans="1:4">
      <c r="A944" s="292"/>
      <c r="B944" s="292"/>
      <c r="C944" s="292"/>
      <c r="D944" s="292"/>
    </row>
    <row r="945" spans="1:4" ht="8.25" customHeight="1">
      <c r="A945" s="292"/>
      <c r="B945" s="292"/>
      <c r="C945" s="292"/>
      <c r="D945" s="292"/>
    </row>
    <row r="946" spans="1:4" ht="25.5" customHeight="1">
      <c r="A946" s="289"/>
      <c r="B946" s="289"/>
      <c r="C946" s="289"/>
      <c r="D946" s="289"/>
    </row>
    <row r="947" spans="1:4" ht="18.75">
      <c r="A947" s="290"/>
      <c r="B947" s="290"/>
      <c r="C947" s="290"/>
      <c r="D947" s="290"/>
    </row>
    <row r="948" spans="1:4" ht="18" customHeight="1">
      <c r="A948" s="291"/>
      <c r="B948" s="291"/>
      <c r="C948" s="291"/>
      <c r="D948" s="291"/>
    </row>
    <row r="949" spans="1:4" ht="14.25" customHeight="1">
      <c r="A949" s="292"/>
      <c r="B949" s="291"/>
      <c r="C949" s="291"/>
      <c r="D949" s="291"/>
    </row>
    <row r="950" spans="1:4" ht="0.75" customHeight="1">
      <c r="A950" s="292"/>
      <c r="B950" s="292"/>
      <c r="C950" s="292"/>
      <c r="D950" s="292"/>
    </row>
  </sheetData>
  <sheetProtection selectLockedCells="1" selectUnlockedCells="1"/>
  <pageMargins left="0" right="0" top="0" bottom="0" header="0" footer="0"/>
  <pageSetup paperSize="9" orientation="portrait" r:id="rId1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Munka12"/>
  <dimension ref="A1:M72"/>
  <sheetViews>
    <sheetView workbookViewId="0">
      <selection activeCell="S49" sqref="S49"/>
    </sheetView>
  </sheetViews>
  <sheetFormatPr defaultColWidth="8.85546875" defaultRowHeight="12.75"/>
  <cols>
    <col min="1" max="1" width="39.42578125" style="221" bestFit="1" customWidth="1"/>
    <col min="2" max="12" width="11.28515625" style="221" customWidth="1"/>
    <col min="13" max="13" width="13.28515625" style="221" bestFit="1" customWidth="1"/>
    <col min="14" max="16384" width="8.85546875" style="221"/>
  </cols>
  <sheetData>
    <row r="1" spans="1:13" ht="21">
      <c r="A1" s="558" t="s">
        <v>392</v>
      </c>
      <c r="B1" s="558"/>
      <c r="C1" s="558"/>
      <c r="D1" s="558"/>
      <c r="E1" s="558"/>
      <c r="F1" s="558"/>
    </row>
    <row r="3" spans="1:13" ht="38.25">
      <c r="A3" s="244" t="s">
        <v>391</v>
      </c>
      <c r="B3" s="245" t="s">
        <v>390</v>
      </c>
      <c r="C3" s="246" t="s">
        <v>389</v>
      </c>
      <c r="D3" s="247" t="s">
        <v>388</v>
      </c>
      <c r="E3" s="247" t="s">
        <v>387</v>
      </c>
      <c r="F3" s="248" t="s">
        <v>386</v>
      </c>
      <c r="G3" s="247" t="s">
        <v>385</v>
      </c>
      <c r="H3" s="249" t="s">
        <v>384</v>
      </c>
      <c r="I3" s="247" t="s">
        <v>383</v>
      </c>
      <c r="J3" s="247" t="s">
        <v>382</v>
      </c>
      <c r="K3" s="247" t="s">
        <v>381</v>
      </c>
      <c r="L3" s="250" t="s">
        <v>380</v>
      </c>
      <c r="M3" s="251" t="s">
        <v>379</v>
      </c>
    </row>
    <row r="4" spans="1:13">
      <c r="A4" s="241" t="s">
        <v>24</v>
      </c>
      <c r="B4" s="229" t="s">
        <v>378</v>
      </c>
      <c r="C4" s="228">
        <v>11.6</v>
      </c>
      <c r="D4" s="227">
        <f t="shared" ref="D4:D14" si="0">H4*0.06</f>
        <v>2.820000000000001E-2</v>
      </c>
      <c r="E4" s="224">
        <v>3</v>
      </c>
      <c r="F4" s="226">
        <v>3.47</v>
      </c>
      <c r="G4" s="224">
        <v>7.1275119999999994</v>
      </c>
      <c r="H4" s="240">
        <f t="shared" ref="H4:H14" si="1">F4-E4</f>
        <v>0.4700000000000002</v>
      </c>
      <c r="I4" s="224">
        <f t="shared" ref="I4:I14" si="2">H4+D4</f>
        <v>0.4982000000000002</v>
      </c>
      <c r="J4" s="224">
        <f t="shared" ref="J4:J14" si="3">C4*I4/1000*100</f>
        <v>0.5779120000000002</v>
      </c>
      <c r="K4" s="239">
        <v>100</v>
      </c>
      <c r="L4" s="222">
        <f t="shared" ref="L4:L14" si="4">G4+J4</f>
        <v>7.7054239999999998</v>
      </c>
      <c r="M4" s="242">
        <f t="shared" ref="M4:M14" si="5">L4/100</f>
        <v>7.7054239999999996E-2</v>
      </c>
    </row>
    <row r="5" spans="1:13">
      <c r="A5" s="241" t="s">
        <v>377</v>
      </c>
      <c r="B5" s="237" t="s">
        <v>376</v>
      </c>
      <c r="C5" s="236">
        <v>14</v>
      </c>
      <c r="D5" s="235">
        <f t="shared" si="0"/>
        <v>2.820000000000001E-2</v>
      </c>
      <c r="E5" s="233">
        <v>3</v>
      </c>
      <c r="F5" s="226">
        <v>3.47</v>
      </c>
      <c r="G5" s="233">
        <v>6.6688400000000003</v>
      </c>
      <c r="H5" s="234">
        <f t="shared" si="1"/>
        <v>0.4700000000000002</v>
      </c>
      <c r="I5" s="233">
        <f t="shared" si="2"/>
        <v>0.4982000000000002</v>
      </c>
      <c r="J5" s="233">
        <f t="shared" si="3"/>
        <v>0.69748000000000021</v>
      </c>
      <c r="K5" s="232">
        <v>100</v>
      </c>
      <c r="L5" s="231">
        <f t="shared" si="4"/>
        <v>7.3663200000000009</v>
      </c>
      <c r="M5" s="243">
        <f t="shared" si="5"/>
        <v>7.3663200000000012E-2</v>
      </c>
    </row>
    <row r="6" spans="1:13">
      <c r="A6" s="241" t="s">
        <v>25</v>
      </c>
      <c r="B6" s="229" t="s">
        <v>375</v>
      </c>
      <c r="C6" s="228">
        <v>34</v>
      </c>
      <c r="D6" s="227">
        <f t="shared" si="0"/>
        <v>2.820000000000001E-2</v>
      </c>
      <c r="E6" s="224">
        <v>3</v>
      </c>
      <c r="F6" s="226">
        <v>3.47</v>
      </c>
      <c r="G6" s="224">
        <v>15.997879999999999</v>
      </c>
      <c r="H6" s="240">
        <f t="shared" si="1"/>
        <v>0.4700000000000002</v>
      </c>
      <c r="I6" s="224">
        <f t="shared" si="2"/>
        <v>0.4982000000000002</v>
      </c>
      <c r="J6" s="224">
        <f t="shared" si="3"/>
        <v>1.6938800000000007</v>
      </c>
      <c r="K6" s="239">
        <v>100</v>
      </c>
      <c r="L6" s="222">
        <f t="shared" si="4"/>
        <v>17.691759999999999</v>
      </c>
      <c r="M6" s="242">
        <f t="shared" si="5"/>
        <v>0.17691759999999998</v>
      </c>
    </row>
    <row r="7" spans="1:13">
      <c r="A7" s="241" t="s">
        <v>15</v>
      </c>
      <c r="B7" s="229" t="s">
        <v>372</v>
      </c>
      <c r="C7" s="228">
        <v>13.8</v>
      </c>
      <c r="D7" s="227">
        <f t="shared" si="0"/>
        <v>2.820000000000001E-2</v>
      </c>
      <c r="E7" s="224">
        <v>3</v>
      </c>
      <c r="F7" s="226">
        <v>3.47</v>
      </c>
      <c r="G7" s="224">
        <v>8.6503160000000001</v>
      </c>
      <c r="H7" s="240">
        <f t="shared" si="1"/>
        <v>0.4700000000000002</v>
      </c>
      <c r="I7" s="224">
        <f t="shared" si="2"/>
        <v>0.4982000000000002</v>
      </c>
      <c r="J7" s="224">
        <f t="shared" si="3"/>
        <v>0.68751600000000024</v>
      </c>
      <c r="K7" s="239">
        <v>100</v>
      </c>
      <c r="L7" s="222">
        <f t="shared" si="4"/>
        <v>9.3378320000000006</v>
      </c>
      <c r="M7" s="242">
        <f t="shared" si="5"/>
        <v>9.3378320000000001E-2</v>
      </c>
    </row>
    <row r="8" spans="1:13">
      <c r="A8" s="241" t="s">
        <v>50</v>
      </c>
      <c r="B8" s="229" t="s">
        <v>374</v>
      </c>
      <c r="C8" s="228">
        <v>65.3</v>
      </c>
      <c r="D8" s="227">
        <f t="shared" si="0"/>
        <v>2.820000000000001E-2</v>
      </c>
      <c r="E8" s="224">
        <v>3</v>
      </c>
      <c r="F8" s="226">
        <v>3.47</v>
      </c>
      <c r="G8" s="224">
        <v>29.375045999999998</v>
      </c>
      <c r="H8" s="240">
        <f t="shared" si="1"/>
        <v>0.4700000000000002</v>
      </c>
      <c r="I8" s="224">
        <f t="shared" si="2"/>
        <v>0.4982000000000002</v>
      </c>
      <c r="J8" s="224">
        <f t="shared" si="3"/>
        <v>3.2532460000000012</v>
      </c>
      <c r="K8" s="239">
        <v>100</v>
      </c>
      <c r="L8" s="238">
        <f t="shared" si="4"/>
        <v>32.628292000000002</v>
      </c>
      <c r="M8" s="242">
        <f t="shared" si="5"/>
        <v>0.32628292000000003</v>
      </c>
    </row>
    <row r="9" spans="1:13">
      <c r="A9" s="241" t="s">
        <v>17</v>
      </c>
      <c r="B9" s="237" t="s">
        <v>373</v>
      </c>
      <c r="C9" s="236">
        <v>17</v>
      </c>
      <c r="D9" s="235">
        <f t="shared" si="0"/>
        <v>2.820000000000001E-2</v>
      </c>
      <c r="E9" s="233">
        <v>3</v>
      </c>
      <c r="F9" s="226">
        <v>3.47</v>
      </c>
      <c r="G9" s="233">
        <v>8.8700200000000002</v>
      </c>
      <c r="H9" s="234">
        <f t="shared" si="1"/>
        <v>0.4700000000000002</v>
      </c>
      <c r="I9" s="233">
        <f t="shared" si="2"/>
        <v>0.4982000000000002</v>
      </c>
      <c r="J9" s="233">
        <f t="shared" si="3"/>
        <v>0.84694000000000036</v>
      </c>
      <c r="K9" s="232">
        <v>101</v>
      </c>
      <c r="L9" s="231">
        <f t="shared" si="4"/>
        <v>9.7169600000000003</v>
      </c>
      <c r="M9" s="243">
        <f t="shared" si="5"/>
        <v>9.7169600000000009E-2</v>
      </c>
    </row>
    <row r="10" spans="1:13">
      <c r="A10" s="241" t="s">
        <v>19</v>
      </c>
      <c r="B10" s="229" t="s">
        <v>372</v>
      </c>
      <c r="C10" s="228">
        <v>28.52</v>
      </c>
      <c r="D10" s="227">
        <f t="shared" si="0"/>
        <v>2.820000000000001E-2</v>
      </c>
      <c r="E10" s="224">
        <v>3</v>
      </c>
      <c r="F10" s="226">
        <v>3.47</v>
      </c>
      <c r="G10" s="230">
        <v>15.79</v>
      </c>
      <c r="H10" s="225">
        <f t="shared" si="1"/>
        <v>0.4700000000000002</v>
      </c>
      <c r="I10" s="224">
        <f t="shared" si="2"/>
        <v>0.4982000000000002</v>
      </c>
      <c r="J10" s="224">
        <f t="shared" si="3"/>
        <v>1.4208664000000006</v>
      </c>
      <c r="K10" s="223">
        <v>101</v>
      </c>
      <c r="L10" s="222">
        <f t="shared" si="4"/>
        <v>17.2108664</v>
      </c>
      <c r="M10" s="243">
        <f t="shared" si="5"/>
        <v>0.17210866399999999</v>
      </c>
    </row>
    <row r="11" spans="1:13">
      <c r="A11" s="241" t="s">
        <v>18</v>
      </c>
      <c r="B11" s="229" t="s">
        <v>371</v>
      </c>
      <c r="C11" s="228">
        <v>29.93</v>
      </c>
      <c r="D11" s="227">
        <f t="shared" si="0"/>
        <v>2.820000000000001E-2</v>
      </c>
      <c r="E11" s="224">
        <v>3</v>
      </c>
      <c r="F11" s="226">
        <v>3.47</v>
      </c>
      <c r="G11" s="224">
        <v>15.85</v>
      </c>
      <c r="H11" s="225">
        <f t="shared" si="1"/>
        <v>0.4700000000000002</v>
      </c>
      <c r="I11" s="224">
        <f t="shared" si="2"/>
        <v>0.4982000000000002</v>
      </c>
      <c r="J11" s="224">
        <f t="shared" si="3"/>
        <v>1.4911126000000008</v>
      </c>
      <c r="K11" s="223">
        <v>101</v>
      </c>
      <c r="L11" s="222">
        <f t="shared" si="4"/>
        <v>17.341112599999999</v>
      </c>
      <c r="M11" s="243">
        <f t="shared" si="5"/>
        <v>0.173411126</v>
      </c>
    </row>
    <row r="12" spans="1:13">
      <c r="A12" s="241" t="s">
        <v>16</v>
      </c>
      <c r="B12" s="229" t="s">
        <v>370</v>
      </c>
      <c r="C12" s="228">
        <v>10.5</v>
      </c>
      <c r="D12" s="227">
        <f t="shared" si="0"/>
        <v>2.820000000000001E-2</v>
      </c>
      <c r="E12" s="224">
        <v>3</v>
      </c>
      <c r="F12" s="226">
        <v>3.47</v>
      </c>
      <c r="G12" s="224">
        <v>6.1575699999999998</v>
      </c>
      <c r="H12" s="225">
        <f t="shared" si="1"/>
        <v>0.4700000000000002</v>
      </c>
      <c r="I12" s="224">
        <f t="shared" si="2"/>
        <v>0.4982000000000002</v>
      </c>
      <c r="J12" s="224">
        <f t="shared" si="3"/>
        <v>0.52311000000000019</v>
      </c>
      <c r="K12" s="223">
        <v>101</v>
      </c>
      <c r="L12" s="222">
        <f t="shared" si="4"/>
        <v>6.6806799999999997</v>
      </c>
      <c r="M12" s="242">
        <f t="shared" si="5"/>
        <v>6.68068E-2</v>
      </c>
    </row>
    <row r="13" spans="1:13">
      <c r="A13" s="241" t="s">
        <v>20</v>
      </c>
      <c r="B13" s="229" t="s">
        <v>369</v>
      </c>
      <c r="C13" s="228">
        <v>21.43</v>
      </c>
      <c r="D13" s="227">
        <f t="shared" si="0"/>
        <v>2.820000000000001E-2</v>
      </c>
      <c r="E13" s="224">
        <v>3</v>
      </c>
      <c r="F13" s="226">
        <v>3.47</v>
      </c>
      <c r="G13" s="224">
        <v>11.7292226</v>
      </c>
      <c r="H13" s="225">
        <f t="shared" si="1"/>
        <v>0.4700000000000002</v>
      </c>
      <c r="I13" s="224">
        <f t="shared" si="2"/>
        <v>0.4982000000000002</v>
      </c>
      <c r="J13" s="224">
        <f t="shared" si="3"/>
        <v>1.0676426000000006</v>
      </c>
      <c r="K13" s="223">
        <v>101</v>
      </c>
      <c r="L13" s="222">
        <f t="shared" si="4"/>
        <v>12.796865200000001</v>
      </c>
      <c r="M13" s="242">
        <f t="shared" si="5"/>
        <v>0.12796865200000002</v>
      </c>
    </row>
    <row r="14" spans="1:13">
      <c r="A14" s="252" t="s">
        <v>43</v>
      </c>
      <c r="B14" s="253" t="s">
        <v>368</v>
      </c>
      <c r="C14" s="254">
        <v>8.3000000000000007</v>
      </c>
      <c r="D14" s="255">
        <f t="shared" si="0"/>
        <v>2.820000000000001E-2</v>
      </c>
      <c r="E14" s="256">
        <v>3</v>
      </c>
      <c r="F14" s="257">
        <v>3.47</v>
      </c>
      <c r="G14" s="256">
        <v>5.15</v>
      </c>
      <c r="H14" s="258">
        <f t="shared" si="1"/>
        <v>0.4700000000000002</v>
      </c>
      <c r="I14" s="256">
        <f t="shared" si="2"/>
        <v>0.4982000000000002</v>
      </c>
      <c r="J14" s="256">
        <f t="shared" si="3"/>
        <v>0.41350600000000021</v>
      </c>
      <c r="K14" s="259">
        <v>101</v>
      </c>
      <c r="L14" s="260">
        <f t="shared" si="4"/>
        <v>5.5635060000000003</v>
      </c>
      <c r="M14" s="261">
        <f t="shared" si="5"/>
        <v>5.563506E-2</v>
      </c>
    </row>
    <row r="15" spans="1:13" ht="15.75">
      <c r="A15" s="262" t="s">
        <v>38</v>
      </c>
      <c r="B15" s="263"/>
      <c r="C15" s="264">
        <v>19</v>
      </c>
      <c r="D15" s="265">
        <v>9.7000000000000017E-2</v>
      </c>
      <c r="E15" s="266">
        <v>1.53</v>
      </c>
      <c r="F15" s="267">
        <v>3.47</v>
      </c>
      <c r="G15" s="268">
        <v>8.5399999999999991</v>
      </c>
      <c r="H15" s="269">
        <v>1.9400000000000002</v>
      </c>
      <c r="I15" s="270">
        <v>2.0370000000000004</v>
      </c>
      <c r="J15" s="266">
        <v>3.8703000000000007</v>
      </c>
      <c r="K15" s="271">
        <v>100</v>
      </c>
      <c r="L15" s="272">
        <v>12.410299999999999</v>
      </c>
      <c r="M15" s="273">
        <v>0.12410299999999999</v>
      </c>
    </row>
    <row r="16" spans="1:13" ht="15.75">
      <c r="A16" s="262" t="s">
        <v>393</v>
      </c>
      <c r="B16" s="263"/>
      <c r="C16" s="264">
        <v>18.7</v>
      </c>
      <c r="D16" s="265">
        <v>9.7000000000000017E-2</v>
      </c>
      <c r="E16" s="266">
        <v>1.53</v>
      </c>
      <c r="F16" s="267">
        <v>3.47</v>
      </c>
      <c r="G16" s="268">
        <v>16.350000000000001</v>
      </c>
      <c r="H16" s="269">
        <v>1.9400000000000002</v>
      </c>
      <c r="I16" s="270">
        <v>2.0370000000000004</v>
      </c>
      <c r="J16" s="266">
        <v>3.8091900000000005</v>
      </c>
      <c r="K16" s="271">
        <v>100</v>
      </c>
      <c r="L16" s="272">
        <v>20.159190000000002</v>
      </c>
      <c r="M16" s="273">
        <v>0.20159190000000002</v>
      </c>
    </row>
    <row r="17" spans="1:13" ht="15.75">
      <c r="A17" s="262" t="s">
        <v>39</v>
      </c>
      <c r="B17" s="263"/>
      <c r="C17" s="264">
        <v>17.399999999999999</v>
      </c>
      <c r="D17" s="265">
        <v>9.7000000000000017E-2</v>
      </c>
      <c r="E17" s="266">
        <v>1.53</v>
      </c>
      <c r="F17" s="267">
        <v>3.47</v>
      </c>
      <c r="G17" s="268">
        <v>11.15</v>
      </c>
      <c r="H17" s="269">
        <v>1.9400000000000002</v>
      </c>
      <c r="I17" s="270">
        <v>2.0370000000000004</v>
      </c>
      <c r="J17" s="266">
        <v>3.5443800000000003</v>
      </c>
      <c r="K17" s="271">
        <v>100</v>
      </c>
      <c r="L17" s="272">
        <v>14.694380000000001</v>
      </c>
      <c r="M17" s="273">
        <v>0.14694380000000001</v>
      </c>
    </row>
    <row r="18" spans="1:13" ht="15.75">
      <c r="A18" s="262" t="s">
        <v>40</v>
      </c>
      <c r="B18" s="263"/>
      <c r="C18" s="264">
        <v>18.5</v>
      </c>
      <c r="D18" s="265">
        <v>9.7000000000000017E-2</v>
      </c>
      <c r="E18" s="266">
        <v>1.53</v>
      </c>
      <c r="F18" s="267">
        <v>3.47</v>
      </c>
      <c r="G18" s="268">
        <v>12</v>
      </c>
      <c r="H18" s="269">
        <v>1.9400000000000002</v>
      </c>
      <c r="I18" s="270">
        <v>2.0370000000000004</v>
      </c>
      <c r="J18" s="266">
        <v>3.768450000000001</v>
      </c>
      <c r="K18" s="271">
        <v>101</v>
      </c>
      <c r="L18" s="272">
        <v>15.768450000000001</v>
      </c>
      <c r="M18" s="273">
        <v>0.15768450000000001</v>
      </c>
    </row>
    <row r="19" spans="1:13" ht="15.75">
      <c r="A19" s="262" t="s">
        <v>26</v>
      </c>
      <c r="B19" s="263"/>
      <c r="C19" s="264">
        <v>35</v>
      </c>
      <c r="D19" s="265">
        <v>9.7000000000000017E-2</v>
      </c>
      <c r="E19" s="266">
        <v>1.53</v>
      </c>
      <c r="F19" s="267">
        <v>3.47</v>
      </c>
      <c r="G19" s="268">
        <v>16.3</v>
      </c>
      <c r="H19" s="269">
        <v>1.9400000000000002</v>
      </c>
      <c r="I19" s="270">
        <v>2.0370000000000004</v>
      </c>
      <c r="J19" s="266">
        <v>7.1295000000000011</v>
      </c>
      <c r="K19" s="271">
        <v>100</v>
      </c>
      <c r="L19" s="272">
        <v>23.429500000000001</v>
      </c>
      <c r="M19" s="273">
        <v>0.234295</v>
      </c>
    </row>
    <row r="20" spans="1:13" ht="15.75">
      <c r="A20" s="262" t="s">
        <v>27</v>
      </c>
      <c r="B20" s="263"/>
      <c r="C20" s="264">
        <v>15.03</v>
      </c>
      <c r="D20" s="265">
        <v>9.7000000000000017E-2</v>
      </c>
      <c r="E20" s="266">
        <v>1.53</v>
      </c>
      <c r="F20" s="267">
        <v>3.47</v>
      </c>
      <c r="G20" s="268">
        <v>8.7200000000000006</v>
      </c>
      <c r="H20" s="269">
        <v>1.9400000000000002</v>
      </c>
      <c r="I20" s="270">
        <v>2.0370000000000004</v>
      </c>
      <c r="J20" s="266">
        <v>3.0616110000000001</v>
      </c>
      <c r="K20" s="271">
        <v>100</v>
      </c>
      <c r="L20" s="272">
        <v>11.781611000000002</v>
      </c>
      <c r="M20" s="273">
        <v>0.11781611000000002</v>
      </c>
    </row>
    <row r="21" spans="1:13" ht="15.75">
      <c r="A21" s="262" t="s">
        <v>28</v>
      </c>
      <c r="B21" s="263"/>
      <c r="C21" s="264">
        <v>67</v>
      </c>
      <c r="D21" s="265">
        <v>9.7000000000000017E-2</v>
      </c>
      <c r="E21" s="266">
        <v>1.53</v>
      </c>
      <c r="F21" s="267">
        <v>3.47</v>
      </c>
      <c r="G21" s="268">
        <v>18.8</v>
      </c>
      <c r="H21" s="269">
        <v>1.9400000000000002</v>
      </c>
      <c r="I21" s="270">
        <v>2.0370000000000004</v>
      </c>
      <c r="J21" s="266">
        <v>13.647900000000002</v>
      </c>
      <c r="K21" s="271">
        <v>100</v>
      </c>
      <c r="L21" s="272">
        <v>32.447900000000004</v>
      </c>
      <c r="M21" s="273">
        <v>0.32447900000000002</v>
      </c>
    </row>
    <row r="22" spans="1:13" ht="15.75">
      <c r="A22" s="262" t="s">
        <v>29</v>
      </c>
      <c r="B22" s="263"/>
      <c r="C22" s="264">
        <v>29.25</v>
      </c>
      <c r="D22" s="265">
        <v>9.7000000000000017E-2</v>
      </c>
      <c r="E22" s="266">
        <v>1.53</v>
      </c>
      <c r="F22" s="267">
        <v>3.47</v>
      </c>
      <c r="G22" s="268">
        <v>19.8</v>
      </c>
      <c r="H22" s="269">
        <v>1.9400000000000002</v>
      </c>
      <c r="I22" s="270">
        <v>2.0370000000000004</v>
      </c>
      <c r="J22" s="266">
        <v>5.9582250000000014</v>
      </c>
      <c r="K22" s="271">
        <v>100</v>
      </c>
      <c r="L22" s="272">
        <v>25.758225000000003</v>
      </c>
      <c r="M22" s="273">
        <v>0.25758225000000001</v>
      </c>
    </row>
    <row r="23" spans="1:13" ht="15.75">
      <c r="A23" s="262" t="s">
        <v>57</v>
      </c>
      <c r="B23" s="263"/>
      <c r="C23" s="264">
        <v>116.27</v>
      </c>
      <c r="D23" s="265">
        <v>9.7000000000000017E-2</v>
      </c>
      <c r="E23" s="266">
        <v>1.53</v>
      </c>
      <c r="F23" s="267">
        <v>3.47</v>
      </c>
      <c r="G23" s="268">
        <v>39.39</v>
      </c>
      <c r="H23" s="269">
        <v>1.9400000000000002</v>
      </c>
      <c r="I23" s="270">
        <v>2.0370000000000004</v>
      </c>
      <c r="J23" s="266">
        <v>23.684199000000003</v>
      </c>
      <c r="K23" s="271">
        <v>100</v>
      </c>
      <c r="L23" s="272">
        <v>63.074199000000007</v>
      </c>
      <c r="M23" s="273">
        <v>0.63074199000000009</v>
      </c>
    </row>
    <row r="24" spans="1:13" ht="15.75">
      <c r="A24" s="262" t="s">
        <v>30</v>
      </c>
      <c r="B24" s="263"/>
      <c r="C24" s="264">
        <v>54.7</v>
      </c>
      <c r="D24" s="265">
        <v>9.7000000000000017E-2</v>
      </c>
      <c r="E24" s="266">
        <v>1.53</v>
      </c>
      <c r="F24" s="267">
        <v>3.47</v>
      </c>
      <c r="G24" s="268">
        <v>25.99</v>
      </c>
      <c r="H24" s="269">
        <v>1.9400000000000002</v>
      </c>
      <c r="I24" s="270">
        <v>2.0370000000000004</v>
      </c>
      <c r="J24" s="266">
        <v>11.142390000000004</v>
      </c>
      <c r="K24" s="271">
        <v>101</v>
      </c>
      <c r="L24" s="272">
        <v>37.132390000000001</v>
      </c>
      <c r="M24" s="273">
        <v>0.37132389999999998</v>
      </c>
    </row>
    <row r="25" spans="1:13" ht="15.75">
      <c r="A25" s="262" t="s">
        <v>31</v>
      </c>
      <c r="B25" s="263"/>
      <c r="C25" s="264">
        <v>54.1</v>
      </c>
      <c r="D25" s="265">
        <v>9.7000000000000017E-2</v>
      </c>
      <c r="E25" s="266">
        <v>1.53</v>
      </c>
      <c r="F25" s="267">
        <v>3.47</v>
      </c>
      <c r="G25" s="268">
        <v>36</v>
      </c>
      <c r="H25" s="269">
        <v>1.9400000000000002</v>
      </c>
      <c r="I25" s="270">
        <v>2.0370000000000004</v>
      </c>
      <c r="J25" s="266">
        <v>11.020170000000002</v>
      </c>
      <c r="K25" s="271">
        <v>100</v>
      </c>
      <c r="L25" s="272">
        <v>47.02017</v>
      </c>
      <c r="M25" s="273">
        <v>0.4702017</v>
      </c>
    </row>
    <row r="26" spans="1:13" ht="15.75">
      <c r="A26" s="262" t="s">
        <v>32</v>
      </c>
      <c r="B26" s="263"/>
      <c r="C26" s="264">
        <v>54.1</v>
      </c>
      <c r="D26" s="265">
        <v>9.7000000000000017E-2</v>
      </c>
      <c r="E26" s="266">
        <v>1.53</v>
      </c>
      <c r="F26" s="267">
        <v>3.47</v>
      </c>
      <c r="G26" s="268">
        <v>36</v>
      </c>
      <c r="H26" s="269">
        <v>1.9400000000000002</v>
      </c>
      <c r="I26" s="270">
        <v>2.0370000000000004</v>
      </c>
      <c r="J26" s="266">
        <v>11.020170000000002</v>
      </c>
      <c r="K26" s="271">
        <v>100</v>
      </c>
      <c r="L26" s="272">
        <v>47.02017</v>
      </c>
      <c r="M26" s="273">
        <v>0.4702017</v>
      </c>
    </row>
    <row r="27" spans="1:13" ht="15.75">
      <c r="A27" s="262" t="s">
        <v>33</v>
      </c>
      <c r="B27" s="263"/>
      <c r="C27" s="264">
        <v>54.7</v>
      </c>
      <c r="D27" s="265">
        <v>9.7000000000000017E-2</v>
      </c>
      <c r="E27" s="266">
        <v>1.53</v>
      </c>
      <c r="F27" s="267">
        <v>3.47</v>
      </c>
      <c r="G27" s="268">
        <v>36</v>
      </c>
      <c r="H27" s="269">
        <v>1.9400000000000002</v>
      </c>
      <c r="I27" s="270">
        <v>2.0370000000000004</v>
      </c>
      <c r="J27" s="266">
        <v>11.142390000000004</v>
      </c>
      <c r="K27" s="271">
        <v>100</v>
      </c>
      <c r="L27" s="272">
        <v>47.142390000000006</v>
      </c>
      <c r="M27" s="273">
        <v>0.47142390000000006</v>
      </c>
    </row>
    <row r="28" spans="1:13" ht="15">
      <c r="A28" s="229" t="s">
        <v>394</v>
      </c>
      <c r="B28" t="s">
        <v>84</v>
      </c>
      <c r="C28" s="228">
        <v>21.6</v>
      </c>
      <c r="D28"/>
      <c r="E28" s="224"/>
      <c r="F28" s="229"/>
      <c r="G28" s="284"/>
      <c r="H28" s="225">
        <f t="shared" ref="H28:H71" si="6">F28-C28</f>
        <v>-21.6</v>
      </c>
      <c r="I28" s="224">
        <f t="shared" ref="I28:I71" si="7">H28+D28</f>
        <v>-21.6</v>
      </c>
      <c r="J28" s="224"/>
      <c r="K28" s="223"/>
      <c r="L28" s="222">
        <f t="shared" ref="L28:L71" si="8">G28+J28</f>
        <v>0</v>
      </c>
      <c r="M28" s="242">
        <v>0.22600000000000001</v>
      </c>
    </row>
    <row r="29" spans="1:13" ht="15">
      <c r="A29" s="229" t="s">
        <v>85</v>
      </c>
      <c r="B29" t="s">
        <v>86</v>
      </c>
      <c r="C29" s="228">
        <v>14.85</v>
      </c>
      <c r="D29"/>
      <c r="E29" s="224"/>
      <c r="F29" s="229"/>
      <c r="G29" s="284"/>
      <c r="H29" s="225">
        <f t="shared" si="6"/>
        <v>-14.85</v>
      </c>
      <c r="I29" s="224">
        <f t="shared" si="7"/>
        <v>-14.85</v>
      </c>
      <c r="J29" s="224"/>
      <c r="K29" s="223"/>
      <c r="L29" s="222">
        <f t="shared" si="8"/>
        <v>0</v>
      </c>
      <c r="M29" s="242">
        <v>0.2089</v>
      </c>
    </row>
    <row r="30" spans="1:13" ht="15">
      <c r="A30" s="229" t="s">
        <v>395</v>
      </c>
      <c r="B30" t="s">
        <v>396</v>
      </c>
      <c r="C30" s="228">
        <v>15.6</v>
      </c>
      <c r="D30"/>
      <c r="E30" s="224"/>
      <c r="F30" s="229"/>
      <c r="G30" s="284"/>
      <c r="H30" s="225">
        <f t="shared" si="6"/>
        <v>-15.6</v>
      </c>
      <c r="I30" s="224">
        <f t="shared" si="7"/>
        <v>-15.6</v>
      </c>
      <c r="J30" s="224"/>
      <c r="K30" s="223"/>
      <c r="L30" s="222">
        <f t="shared" si="8"/>
        <v>0</v>
      </c>
      <c r="M30" s="242">
        <v>0.2109</v>
      </c>
    </row>
    <row r="31" spans="1:13" ht="15">
      <c r="A31" s="229" t="s">
        <v>87</v>
      </c>
      <c r="B31" t="s">
        <v>88</v>
      </c>
      <c r="C31" s="228">
        <v>8.1</v>
      </c>
      <c r="D31"/>
      <c r="E31" s="224"/>
      <c r="F31" s="229"/>
      <c r="G31" s="284"/>
      <c r="H31" s="225">
        <f t="shared" si="6"/>
        <v>-8.1</v>
      </c>
      <c r="I31" s="224">
        <f t="shared" si="7"/>
        <v>-8.1</v>
      </c>
      <c r="J31" s="224"/>
      <c r="K31" s="223"/>
      <c r="L31" s="222">
        <f t="shared" si="8"/>
        <v>0</v>
      </c>
      <c r="M31" s="242">
        <v>0.17379999999999998</v>
      </c>
    </row>
    <row r="32" spans="1:13" ht="15">
      <c r="A32" s="229" t="s">
        <v>89</v>
      </c>
      <c r="B32" t="s">
        <v>90</v>
      </c>
      <c r="C32" s="228">
        <v>12</v>
      </c>
      <c r="D32"/>
      <c r="E32" s="224"/>
      <c r="F32" s="229"/>
      <c r="G32" s="284"/>
      <c r="H32" s="225">
        <f t="shared" si="6"/>
        <v>-12</v>
      </c>
      <c r="I32" s="224">
        <f t="shared" si="7"/>
        <v>-12</v>
      </c>
      <c r="J32" s="224"/>
      <c r="K32" s="223"/>
      <c r="L32" s="222">
        <f t="shared" si="8"/>
        <v>0</v>
      </c>
      <c r="M32" s="242">
        <v>0.18280000000000002</v>
      </c>
    </row>
    <row r="33" spans="1:13" ht="15">
      <c r="A33" s="229" t="s">
        <v>35</v>
      </c>
      <c r="B33"/>
      <c r="C33" s="228">
        <v>12.5</v>
      </c>
      <c r="D33"/>
      <c r="E33" s="224"/>
      <c r="F33" s="229"/>
      <c r="G33" s="284"/>
      <c r="H33" s="225">
        <f t="shared" si="6"/>
        <v>-12.5</v>
      </c>
      <c r="I33" s="224">
        <f t="shared" si="7"/>
        <v>-12.5</v>
      </c>
      <c r="J33" s="224"/>
      <c r="K33" s="223"/>
      <c r="L33" s="222">
        <f t="shared" si="8"/>
        <v>0</v>
      </c>
      <c r="M33" s="242">
        <v>0.20399999999999999</v>
      </c>
    </row>
    <row r="34" spans="1:13" ht="15">
      <c r="A34" s="229" t="s">
        <v>91</v>
      </c>
      <c r="B34" t="s">
        <v>92</v>
      </c>
      <c r="C34" s="228">
        <v>17.399999999999999</v>
      </c>
      <c r="D34"/>
      <c r="E34" s="224"/>
      <c r="F34" s="229"/>
      <c r="G34" s="284"/>
      <c r="H34" s="225">
        <f t="shared" si="6"/>
        <v>-17.399999999999999</v>
      </c>
      <c r="I34" s="224">
        <f t="shared" si="7"/>
        <v>-17.399999999999999</v>
      </c>
      <c r="J34" s="224"/>
      <c r="K34" s="223"/>
      <c r="L34" s="222">
        <f t="shared" si="8"/>
        <v>0</v>
      </c>
      <c r="M34" s="242">
        <v>0.21600000000000003</v>
      </c>
    </row>
    <row r="35" spans="1:13" ht="15">
      <c r="A35" s="229" t="s">
        <v>93</v>
      </c>
      <c r="B35" t="s">
        <v>94</v>
      </c>
      <c r="C35" s="228">
        <v>7</v>
      </c>
      <c r="D35"/>
      <c r="E35" s="224"/>
      <c r="F35" s="229"/>
      <c r="G35" s="284"/>
      <c r="H35" s="225">
        <f t="shared" si="6"/>
        <v>-7</v>
      </c>
      <c r="I35" s="224">
        <f t="shared" si="7"/>
        <v>-7</v>
      </c>
      <c r="J35" s="224"/>
      <c r="K35" s="223"/>
      <c r="L35" s="222">
        <f t="shared" si="8"/>
        <v>0</v>
      </c>
      <c r="M35" s="242">
        <v>0.17100000000000001</v>
      </c>
    </row>
    <row r="36" spans="1:13" ht="15">
      <c r="A36" s="229" t="s">
        <v>397</v>
      </c>
      <c r="B36" t="s">
        <v>398</v>
      </c>
      <c r="C36" s="228">
        <v>11.5</v>
      </c>
      <c r="D36"/>
      <c r="E36" s="224"/>
      <c r="F36" s="229"/>
      <c r="G36" s="284"/>
      <c r="H36" s="225">
        <f t="shared" si="6"/>
        <v>-11.5</v>
      </c>
      <c r="I36" s="224">
        <f t="shared" si="7"/>
        <v>-11.5</v>
      </c>
      <c r="J36" s="224"/>
      <c r="K36" s="223"/>
      <c r="L36" s="222">
        <f t="shared" si="8"/>
        <v>0</v>
      </c>
      <c r="M36" s="242">
        <v>0.16899999999999998</v>
      </c>
    </row>
    <row r="37" spans="1:13" ht="15">
      <c r="A37" s="229" t="s">
        <v>95</v>
      </c>
      <c r="B37" t="s">
        <v>96</v>
      </c>
      <c r="C37" s="228">
        <v>12.200000000000001</v>
      </c>
      <c r="D37"/>
      <c r="E37" s="224"/>
      <c r="F37" s="229"/>
      <c r="G37" s="284"/>
      <c r="H37" s="225">
        <f t="shared" si="6"/>
        <v>-12.200000000000001</v>
      </c>
      <c r="I37" s="224">
        <f t="shared" si="7"/>
        <v>-12.200000000000001</v>
      </c>
      <c r="J37" s="224"/>
      <c r="K37" s="223"/>
      <c r="L37" s="222">
        <f t="shared" si="8"/>
        <v>0</v>
      </c>
      <c r="M37" s="242">
        <v>0.20280000000000001</v>
      </c>
    </row>
    <row r="38" spans="1:13" ht="15">
      <c r="A38" s="229" t="s">
        <v>97</v>
      </c>
      <c r="B38" t="s">
        <v>98</v>
      </c>
      <c r="C38" s="228">
        <v>24.5</v>
      </c>
      <c r="D38"/>
      <c r="E38" s="224"/>
      <c r="F38" s="229"/>
      <c r="G38" s="284"/>
      <c r="H38" s="225">
        <f t="shared" si="6"/>
        <v>-24.5</v>
      </c>
      <c r="I38" s="224">
        <f t="shared" si="7"/>
        <v>-24.5</v>
      </c>
      <c r="J38" s="224"/>
      <c r="K38" s="223"/>
      <c r="L38" s="222">
        <f t="shared" si="8"/>
        <v>0</v>
      </c>
      <c r="M38" s="242">
        <v>0.22800000000000001</v>
      </c>
    </row>
    <row r="39" spans="1:13" ht="15">
      <c r="A39" s="229" t="s">
        <v>99</v>
      </c>
      <c r="B39" t="s">
        <v>98</v>
      </c>
      <c r="C39" s="228">
        <v>18.5</v>
      </c>
      <c r="D39"/>
      <c r="E39" s="224"/>
      <c r="F39" s="229"/>
      <c r="G39" s="284"/>
      <c r="H39" s="225">
        <f t="shared" si="6"/>
        <v>-18.5</v>
      </c>
      <c r="I39" s="224">
        <f t="shared" si="7"/>
        <v>-18.5</v>
      </c>
      <c r="J39" s="224"/>
      <c r="K39" s="223"/>
      <c r="L39" s="222">
        <f t="shared" si="8"/>
        <v>0</v>
      </c>
      <c r="M39" s="242">
        <v>0.21600000000000003</v>
      </c>
    </row>
    <row r="40" spans="1:13" ht="15">
      <c r="A40" s="229" t="s">
        <v>100</v>
      </c>
      <c r="B40" t="s">
        <v>98</v>
      </c>
      <c r="C40" s="228">
        <v>8.3000000000000007</v>
      </c>
      <c r="D40"/>
      <c r="E40" s="224"/>
      <c r="F40" s="229"/>
      <c r="G40" s="284"/>
      <c r="H40" s="225">
        <f t="shared" si="6"/>
        <v>-8.3000000000000007</v>
      </c>
      <c r="I40" s="224">
        <f t="shared" si="7"/>
        <v>-8.3000000000000007</v>
      </c>
      <c r="J40" s="224"/>
      <c r="K40" s="223"/>
      <c r="L40" s="222">
        <f t="shared" si="8"/>
        <v>0</v>
      </c>
      <c r="M40" s="242">
        <v>0.18</v>
      </c>
    </row>
    <row r="41" spans="1:13" ht="15">
      <c r="A41" s="229" t="s">
        <v>101</v>
      </c>
      <c r="B41" t="s">
        <v>102</v>
      </c>
      <c r="C41" s="285">
        <v>92.53</v>
      </c>
      <c r="D41"/>
      <c r="E41" s="224"/>
      <c r="F41" s="229"/>
      <c r="G41" s="284"/>
      <c r="H41" s="225">
        <f t="shared" si="6"/>
        <v>-92.53</v>
      </c>
      <c r="I41" s="224">
        <f t="shared" si="7"/>
        <v>-92.53</v>
      </c>
      <c r="J41" s="224"/>
      <c r="K41" s="223"/>
      <c r="L41" s="222">
        <f t="shared" si="8"/>
        <v>0</v>
      </c>
      <c r="M41" s="242">
        <v>0.4128</v>
      </c>
    </row>
    <row r="42" spans="1:13" ht="15">
      <c r="A42" s="229" t="s">
        <v>103</v>
      </c>
      <c r="B42" t="s">
        <v>102</v>
      </c>
      <c r="C42" s="228">
        <v>92.56</v>
      </c>
      <c r="D42"/>
      <c r="E42" s="224"/>
      <c r="F42" s="229"/>
      <c r="G42" s="284"/>
      <c r="H42" s="225">
        <f t="shared" si="6"/>
        <v>-92.56</v>
      </c>
      <c r="I42" s="224">
        <f t="shared" si="7"/>
        <v>-92.56</v>
      </c>
      <c r="J42" s="224"/>
      <c r="K42" s="223"/>
      <c r="L42" s="222">
        <f t="shared" si="8"/>
        <v>0</v>
      </c>
      <c r="M42" s="242">
        <v>0.4128</v>
      </c>
    </row>
    <row r="43" spans="1:13" ht="15">
      <c r="A43" s="229" t="s">
        <v>104</v>
      </c>
      <c r="B43" t="s">
        <v>105</v>
      </c>
      <c r="C43" s="228">
        <v>8.3000000000000007</v>
      </c>
      <c r="D43"/>
      <c r="E43" s="224"/>
      <c r="F43" s="229"/>
      <c r="G43" s="284"/>
      <c r="H43" s="225">
        <f t="shared" si="6"/>
        <v>-8.3000000000000007</v>
      </c>
      <c r="I43" s="224">
        <f t="shared" si="7"/>
        <v>-8.3000000000000007</v>
      </c>
      <c r="J43" s="224"/>
      <c r="K43" s="223"/>
      <c r="L43" s="222">
        <f t="shared" si="8"/>
        <v>0</v>
      </c>
      <c r="M43" s="242">
        <v>7.8399999999999997E-2</v>
      </c>
    </row>
    <row r="44" spans="1:13" ht="15">
      <c r="A44" s="229" t="s">
        <v>106</v>
      </c>
      <c r="B44" t="s">
        <v>107</v>
      </c>
      <c r="C44" s="228">
        <v>2.5</v>
      </c>
      <c r="D44"/>
      <c r="E44" s="224"/>
      <c r="F44" s="229"/>
      <c r="G44" s="284"/>
      <c r="H44" s="225">
        <f t="shared" si="6"/>
        <v>-2.5</v>
      </c>
      <c r="I44" s="224">
        <f t="shared" si="7"/>
        <v>-2.5</v>
      </c>
      <c r="J44" s="224"/>
      <c r="K44" s="223"/>
      <c r="L44" s="222">
        <f t="shared" si="8"/>
        <v>0</v>
      </c>
      <c r="M44" s="242">
        <v>6.4000000000000001E-2</v>
      </c>
    </row>
    <row r="45" spans="1:13" ht="15">
      <c r="A45" s="229" t="s">
        <v>36</v>
      </c>
      <c r="B45"/>
      <c r="C45" s="228">
        <v>5.2</v>
      </c>
      <c r="D45"/>
      <c r="E45" s="224"/>
      <c r="F45" s="229"/>
      <c r="G45" s="284"/>
      <c r="H45" s="225">
        <f t="shared" si="6"/>
        <v>-5.2</v>
      </c>
      <c r="I45" s="224">
        <f t="shared" si="7"/>
        <v>-5.2</v>
      </c>
      <c r="J45" s="224"/>
      <c r="K45" s="223"/>
      <c r="L45" s="222">
        <f t="shared" si="8"/>
        <v>0</v>
      </c>
      <c r="M45" s="242">
        <v>9.9299999999999999E-2</v>
      </c>
    </row>
    <row r="46" spans="1:13" ht="15">
      <c r="A46" s="229" t="s">
        <v>108</v>
      </c>
      <c r="B46" t="s">
        <v>109</v>
      </c>
      <c r="C46" s="228">
        <v>14.9</v>
      </c>
      <c r="D46"/>
      <c r="E46" s="224"/>
      <c r="F46" s="229"/>
      <c r="G46" s="284"/>
      <c r="H46" s="225">
        <f t="shared" si="6"/>
        <v>-14.9</v>
      </c>
      <c r="I46" s="224">
        <f t="shared" si="7"/>
        <v>-14.9</v>
      </c>
      <c r="J46" s="224"/>
      <c r="K46" s="223"/>
      <c r="L46" s="222">
        <f t="shared" si="8"/>
        <v>0</v>
      </c>
      <c r="M46" s="242">
        <v>0.20600000000000002</v>
      </c>
    </row>
    <row r="47" spans="1:13" ht="15">
      <c r="A47" s="229" t="s">
        <v>399</v>
      </c>
      <c r="B47" t="s">
        <v>400</v>
      </c>
      <c r="C47" s="228">
        <v>22.34</v>
      </c>
      <c r="D47"/>
      <c r="E47" s="224"/>
      <c r="F47" s="229"/>
      <c r="G47" s="284"/>
      <c r="H47" s="225">
        <f t="shared" si="6"/>
        <v>-22.34</v>
      </c>
      <c r="I47" s="224">
        <f t="shared" si="7"/>
        <v>-22.34</v>
      </c>
      <c r="J47" s="224"/>
      <c r="K47" s="223"/>
      <c r="L47" s="222">
        <f t="shared" si="8"/>
        <v>0</v>
      </c>
      <c r="M47" s="242">
        <v>0.22739999999999999</v>
      </c>
    </row>
    <row r="48" spans="1:13" ht="15">
      <c r="A48" s="229" t="s">
        <v>110</v>
      </c>
      <c r="B48" t="s">
        <v>111</v>
      </c>
      <c r="C48" s="228">
        <v>23.599999999999998</v>
      </c>
      <c r="D48"/>
      <c r="E48" s="224"/>
      <c r="F48" s="229"/>
      <c r="G48" s="284"/>
      <c r="H48" s="225">
        <f t="shared" si="6"/>
        <v>-23.599999999999998</v>
      </c>
      <c r="I48" s="224">
        <f t="shared" si="7"/>
        <v>-23.599999999999998</v>
      </c>
      <c r="J48" s="224"/>
      <c r="K48" s="223"/>
      <c r="L48" s="222">
        <f t="shared" si="8"/>
        <v>0</v>
      </c>
      <c r="M48" s="242">
        <v>0.2298</v>
      </c>
    </row>
    <row r="49" spans="1:13" ht="15">
      <c r="A49" s="229" t="s">
        <v>144</v>
      </c>
      <c r="B49" t="s">
        <v>145</v>
      </c>
      <c r="C49" s="228">
        <v>25.3</v>
      </c>
      <c r="D49"/>
      <c r="E49" s="224"/>
      <c r="F49" s="229"/>
      <c r="G49" s="284"/>
      <c r="H49" s="225">
        <f t="shared" si="6"/>
        <v>-25.3</v>
      </c>
      <c r="I49" s="224">
        <f t="shared" si="7"/>
        <v>-25.3</v>
      </c>
      <c r="J49" s="224"/>
      <c r="K49" s="223"/>
      <c r="L49" s="222">
        <f t="shared" si="8"/>
        <v>0</v>
      </c>
      <c r="M49" s="242">
        <v>0.23480000000000001</v>
      </c>
    </row>
    <row r="50" spans="1:13" ht="15">
      <c r="A50" s="229" t="s">
        <v>112</v>
      </c>
      <c r="B50" t="s">
        <v>113</v>
      </c>
      <c r="C50" s="228">
        <v>22.8</v>
      </c>
      <c r="D50"/>
      <c r="E50" s="224"/>
      <c r="F50" s="229"/>
      <c r="G50" s="284"/>
      <c r="H50" s="225">
        <f t="shared" si="6"/>
        <v>-22.8</v>
      </c>
      <c r="I50" s="224">
        <f t="shared" si="7"/>
        <v>-22.8</v>
      </c>
      <c r="J50" s="224"/>
      <c r="K50" s="223"/>
      <c r="L50" s="222">
        <f t="shared" si="8"/>
        <v>0</v>
      </c>
      <c r="M50" s="242">
        <v>0.22949999999999998</v>
      </c>
    </row>
    <row r="51" spans="1:13" ht="15">
      <c r="A51" s="229" t="s">
        <v>37</v>
      </c>
      <c r="B51"/>
      <c r="C51" s="228">
        <v>21.7</v>
      </c>
      <c r="D51"/>
      <c r="E51" s="224"/>
      <c r="F51" s="229"/>
      <c r="G51" s="284"/>
      <c r="H51" s="225">
        <f t="shared" si="6"/>
        <v>-21.7</v>
      </c>
      <c r="I51" s="224">
        <f t="shared" si="7"/>
        <v>-21.7</v>
      </c>
      <c r="J51" s="224"/>
      <c r="K51" s="223"/>
      <c r="L51" s="222">
        <f t="shared" si="8"/>
        <v>0</v>
      </c>
      <c r="M51" s="242">
        <v>0.2145</v>
      </c>
    </row>
    <row r="52" spans="1:13" ht="15">
      <c r="A52" s="229" t="s">
        <v>114</v>
      </c>
      <c r="B52" t="s">
        <v>115</v>
      </c>
      <c r="C52" s="228">
        <v>60.9</v>
      </c>
      <c r="D52"/>
      <c r="E52" s="224"/>
      <c r="F52" s="229"/>
      <c r="G52" s="284"/>
      <c r="H52" s="225">
        <f t="shared" si="6"/>
        <v>-60.9</v>
      </c>
      <c r="I52" s="224">
        <f t="shared" si="7"/>
        <v>-60.9</v>
      </c>
      <c r="J52" s="224"/>
      <c r="K52" s="223"/>
      <c r="L52" s="222">
        <f t="shared" si="8"/>
        <v>0</v>
      </c>
      <c r="M52" s="242">
        <v>0.49869999999999998</v>
      </c>
    </row>
    <row r="53" spans="1:13" ht="15">
      <c r="A53" s="229" t="s">
        <v>116</v>
      </c>
      <c r="B53" t="s">
        <v>117</v>
      </c>
      <c r="C53" s="228">
        <v>47.550000000000004</v>
      </c>
      <c r="D53"/>
      <c r="E53" s="224"/>
      <c r="F53" s="229"/>
      <c r="G53" s="284"/>
      <c r="H53" s="225">
        <f t="shared" si="6"/>
        <v>-47.550000000000004</v>
      </c>
      <c r="I53" s="224">
        <f t="shared" si="7"/>
        <v>-47.550000000000004</v>
      </c>
      <c r="J53" s="224"/>
      <c r="K53" s="223"/>
      <c r="L53" s="222">
        <f t="shared" si="8"/>
        <v>0</v>
      </c>
      <c r="M53" s="242">
        <v>0.29980000000000001</v>
      </c>
    </row>
    <row r="54" spans="1:13" ht="15">
      <c r="A54" s="229" t="s">
        <v>118</v>
      </c>
      <c r="B54" t="s">
        <v>119</v>
      </c>
      <c r="C54" s="228">
        <v>47.3</v>
      </c>
      <c r="D54"/>
      <c r="E54" s="224"/>
      <c r="F54" s="229"/>
      <c r="G54" s="284"/>
      <c r="H54" s="225">
        <f t="shared" si="6"/>
        <v>-47.3</v>
      </c>
      <c r="I54" s="224">
        <f t="shared" si="7"/>
        <v>-47.3</v>
      </c>
      <c r="J54" s="224"/>
      <c r="K54" s="223"/>
      <c r="L54" s="222">
        <f t="shared" si="8"/>
        <v>0</v>
      </c>
      <c r="M54" s="242">
        <v>0.30059999999999998</v>
      </c>
    </row>
    <row r="55" spans="1:13" ht="15">
      <c r="A55" s="229" t="s">
        <v>120</v>
      </c>
      <c r="B55" t="s">
        <v>121</v>
      </c>
      <c r="C55" s="228">
        <v>15</v>
      </c>
      <c r="D55"/>
      <c r="E55" s="224"/>
      <c r="F55" s="229"/>
      <c r="G55" s="284"/>
      <c r="H55" s="225">
        <f t="shared" si="6"/>
        <v>-15</v>
      </c>
      <c r="I55" s="224">
        <f t="shared" si="7"/>
        <v>-15</v>
      </c>
      <c r="J55" s="224"/>
      <c r="K55" s="223"/>
      <c r="L55" s="222">
        <f t="shared" si="8"/>
        <v>0</v>
      </c>
      <c r="M55" s="242">
        <v>0.20989999999999998</v>
      </c>
    </row>
    <row r="56" spans="1:13" ht="15">
      <c r="A56" s="229" t="s">
        <v>122</v>
      </c>
      <c r="B56" t="s">
        <v>123</v>
      </c>
      <c r="C56" s="228">
        <v>20.8</v>
      </c>
      <c r="D56"/>
      <c r="E56" s="224"/>
      <c r="F56" s="229"/>
      <c r="G56" s="284"/>
      <c r="H56" s="225">
        <f t="shared" si="6"/>
        <v>-20.8</v>
      </c>
      <c r="I56" s="224">
        <f t="shared" si="7"/>
        <v>-20.8</v>
      </c>
      <c r="J56" s="224"/>
      <c r="K56" s="223"/>
      <c r="L56" s="222">
        <f t="shared" si="8"/>
        <v>0</v>
      </c>
      <c r="M56" s="242">
        <v>0.22339999999999999</v>
      </c>
    </row>
    <row r="57" spans="1:13" ht="15">
      <c r="A57" s="229" t="s">
        <v>146</v>
      </c>
      <c r="B57" t="s">
        <v>125</v>
      </c>
      <c r="C57" s="228">
        <v>70</v>
      </c>
      <c r="D57"/>
      <c r="E57" s="224"/>
      <c r="F57" s="229"/>
      <c r="G57" s="284"/>
      <c r="H57" s="225">
        <f t="shared" si="6"/>
        <v>-70</v>
      </c>
      <c r="I57" s="224">
        <f t="shared" si="7"/>
        <v>-70</v>
      </c>
      <c r="J57" s="224"/>
      <c r="K57" s="223"/>
      <c r="L57" s="222">
        <f t="shared" si="8"/>
        <v>0</v>
      </c>
      <c r="M57" s="242">
        <v>0.35119999999999996</v>
      </c>
    </row>
    <row r="58" spans="1:13" ht="15">
      <c r="A58" s="229" t="s">
        <v>124</v>
      </c>
      <c r="B58" t="s">
        <v>125</v>
      </c>
      <c r="C58" s="228">
        <v>81.72</v>
      </c>
      <c r="D58"/>
      <c r="E58" s="224"/>
      <c r="F58" s="229"/>
      <c r="G58" s="284"/>
      <c r="H58" s="225">
        <f t="shared" si="6"/>
        <v>-81.72</v>
      </c>
      <c r="I58" s="224">
        <f t="shared" si="7"/>
        <v>-81.72</v>
      </c>
      <c r="J58" s="224"/>
      <c r="K58" s="223"/>
      <c r="L58" s="222">
        <f t="shared" si="8"/>
        <v>0</v>
      </c>
      <c r="M58" s="242">
        <v>0.41670000000000001</v>
      </c>
    </row>
    <row r="59" spans="1:13" ht="15">
      <c r="A59" s="229" t="s">
        <v>126</v>
      </c>
      <c r="B59" t="s">
        <v>125</v>
      </c>
      <c r="C59" s="228">
        <v>52.6</v>
      </c>
      <c r="D59"/>
      <c r="E59" s="224"/>
      <c r="F59" s="229"/>
      <c r="G59" s="284"/>
      <c r="H59" s="225">
        <f t="shared" si="6"/>
        <v>-52.6</v>
      </c>
      <c r="I59" s="224">
        <f t="shared" si="7"/>
        <v>-52.6</v>
      </c>
      <c r="J59" s="224"/>
      <c r="K59" s="223"/>
      <c r="L59" s="222">
        <f t="shared" si="8"/>
        <v>0</v>
      </c>
      <c r="M59" s="242">
        <v>0.317</v>
      </c>
    </row>
    <row r="60" spans="1:13" ht="15">
      <c r="A60" s="229" t="s">
        <v>127</v>
      </c>
      <c r="B60" t="s">
        <v>128</v>
      </c>
      <c r="C60" s="228">
        <v>206</v>
      </c>
      <c r="D60"/>
      <c r="E60" s="224"/>
      <c r="F60" s="229"/>
      <c r="G60" s="284"/>
      <c r="H60" s="225">
        <f t="shared" si="6"/>
        <v>-206</v>
      </c>
      <c r="I60" s="224">
        <f t="shared" si="7"/>
        <v>-206</v>
      </c>
      <c r="J60" s="224"/>
      <c r="K60" s="223"/>
      <c r="L60" s="222">
        <f t="shared" si="8"/>
        <v>0</v>
      </c>
      <c r="M60" s="242">
        <v>1.2186918000000002</v>
      </c>
    </row>
    <row r="61" spans="1:13" ht="15">
      <c r="A61" s="229" t="s">
        <v>129</v>
      </c>
      <c r="B61" t="s">
        <v>130</v>
      </c>
      <c r="C61" s="228">
        <v>63.4</v>
      </c>
      <c r="D61"/>
      <c r="E61" s="224"/>
      <c r="F61" s="229"/>
      <c r="G61" s="284"/>
      <c r="H61" s="225">
        <f t="shared" si="6"/>
        <v>-63.4</v>
      </c>
      <c r="I61" s="224">
        <f t="shared" si="7"/>
        <v>-63.4</v>
      </c>
      <c r="J61" s="224"/>
      <c r="K61" s="223"/>
      <c r="L61" s="222">
        <f t="shared" si="8"/>
        <v>0</v>
      </c>
      <c r="M61" s="242">
        <v>0.41520000000000001</v>
      </c>
    </row>
    <row r="62" spans="1:13" ht="15">
      <c r="A62" s="229" t="s">
        <v>131</v>
      </c>
      <c r="B62" t="s">
        <v>125</v>
      </c>
      <c r="C62" s="228">
        <v>22.599999999999998</v>
      </c>
      <c r="D62"/>
      <c r="E62" s="224"/>
      <c r="F62" s="229"/>
      <c r="G62" s="284"/>
      <c r="H62" s="225">
        <f t="shared" si="6"/>
        <v>-22.599999999999998</v>
      </c>
      <c r="I62" s="224">
        <f t="shared" si="7"/>
        <v>-22.599999999999998</v>
      </c>
      <c r="J62" s="224"/>
      <c r="K62" s="223"/>
      <c r="L62" s="222">
        <f t="shared" si="8"/>
        <v>0</v>
      </c>
      <c r="M62" s="242">
        <v>0.22900000000000001</v>
      </c>
    </row>
    <row r="63" spans="1:13" ht="15">
      <c r="A63" s="229" t="s">
        <v>147</v>
      </c>
      <c r="B63" t="s">
        <v>148</v>
      </c>
      <c r="C63" s="228">
        <v>69.099999999999994</v>
      </c>
      <c r="D63"/>
      <c r="E63" s="224"/>
      <c r="F63" s="229"/>
      <c r="G63" s="284"/>
      <c r="H63" s="225">
        <f t="shared" si="6"/>
        <v>-69.099999999999994</v>
      </c>
      <c r="I63" s="224">
        <f t="shared" si="7"/>
        <v>-69.099999999999994</v>
      </c>
      <c r="J63" s="224"/>
      <c r="K63" s="223"/>
      <c r="L63" s="222">
        <f t="shared" si="8"/>
        <v>0</v>
      </c>
      <c r="M63" s="242">
        <v>0.38900000000000001</v>
      </c>
    </row>
    <row r="64" spans="1:13" ht="15">
      <c r="A64" s="229" t="s">
        <v>401</v>
      </c>
      <c r="B64"/>
      <c r="C64" s="228">
        <v>56</v>
      </c>
      <c r="D64"/>
      <c r="E64" s="224"/>
      <c r="F64" s="229"/>
      <c r="G64" s="284"/>
      <c r="H64" s="225">
        <f t="shared" si="6"/>
        <v>-56</v>
      </c>
      <c r="I64" s="224">
        <f t="shared" si="7"/>
        <v>-56</v>
      </c>
      <c r="J64" s="224"/>
      <c r="K64" s="223"/>
      <c r="L64" s="222">
        <f t="shared" si="8"/>
        <v>0</v>
      </c>
      <c r="M64" s="242">
        <v>0.41</v>
      </c>
    </row>
    <row r="65" spans="1:13" ht="15">
      <c r="A65" s="229" t="s">
        <v>402</v>
      </c>
      <c r="B65"/>
      <c r="C65" s="228">
        <v>300</v>
      </c>
      <c r="D65"/>
      <c r="E65" s="224"/>
      <c r="F65" s="229"/>
      <c r="G65" s="284"/>
      <c r="H65" s="225">
        <f t="shared" si="6"/>
        <v>-300</v>
      </c>
      <c r="I65" s="224">
        <f t="shared" si="7"/>
        <v>-300</v>
      </c>
      <c r="J65" s="224"/>
      <c r="K65" s="223"/>
      <c r="L65" s="222">
        <f t="shared" si="8"/>
        <v>0</v>
      </c>
      <c r="M65" s="242">
        <v>1.1340000000000001</v>
      </c>
    </row>
    <row r="66" spans="1:13" ht="15">
      <c r="A66" s="229" t="s">
        <v>132</v>
      </c>
      <c r="B66" t="s">
        <v>133</v>
      </c>
      <c r="C66" s="228">
        <v>16.8</v>
      </c>
      <c r="D66"/>
      <c r="E66" s="224"/>
      <c r="F66" s="229"/>
      <c r="G66" s="284"/>
      <c r="H66" s="225">
        <f t="shared" si="6"/>
        <v>-16.8</v>
      </c>
      <c r="I66" s="224">
        <f t="shared" si="7"/>
        <v>-16.8</v>
      </c>
      <c r="J66" s="224"/>
      <c r="K66" s="223"/>
      <c r="L66" s="222">
        <f t="shared" si="8"/>
        <v>0</v>
      </c>
      <c r="M66" s="242">
        <v>0.21479999999999999</v>
      </c>
    </row>
    <row r="67" spans="1:13" ht="15">
      <c r="A67" s="229" t="s">
        <v>403</v>
      </c>
      <c r="B67"/>
      <c r="C67" s="228">
        <v>25</v>
      </c>
      <c r="D67"/>
      <c r="E67" s="224"/>
      <c r="F67" s="229"/>
      <c r="G67" s="284"/>
      <c r="H67" s="225">
        <f t="shared" si="6"/>
        <v>-25</v>
      </c>
      <c r="I67" s="224">
        <f t="shared" si="7"/>
        <v>-25</v>
      </c>
      <c r="J67" s="224"/>
      <c r="K67" s="223"/>
      <c r="L67" s="222">
        <f t="shared" si="8"/>
        <v>0</v>
      </c>
      <c r="M67" s="242">
        <v>0.36</v>
      </c>
    </row>
    <row r="68" spans="1:13" ht="15">
      <c r="A68" s="229" t="s">
        <v>137</v>
      </c>
      <c r="B68" t="s">
        <v>138</v>
      </c>
      <c r="C68" s="228">
        <v>4.5</v>
      </c>
      <c r="D68"/>
      <c r="E68" s="224"/>
      <c r="F68" s="229"/>
      <c r="G68" s="284"/>
      <c r="H68" s="225">
        <f t="shared" si="6"/>
        <v>-4.5</v>
      </c>
      <c r="I68" s="224">
        <f t="shared" si="7"/>
        <v>-4.5</v>
      </c>
      <c r="J68" s="224"/>
      <c r="K68" s="223"/>
      <c r="L68" s="222">
        <f t="shared" si="8"/>
        <v>0</v>
      </c>
      <c r="M68" s="242">
        <v>0.16800000000000001</v>
      </c>
    </row>
    <row r="69" spans="1:13" ht="15">
      <c r="A69" s="229" t="s">
        <v>139</v>
      </c>
      <c r="B69" t="s">
        <v>140</v>
      </c>
      <c r="C69" s="228">
        <v>20.7</v>
      </c>
      <c r="D69"/>
      <c r="E69" s="224"/>
      <c r="F69" s="229"/>
      <c r="G69" s="284"/>
      <c r="H69" s="225">
        <f t="shared" si="6"/>
        <v>-20.7</v>
      </c>
      <c r="I69" s="224">
        <f t="shared" si="7"/>
        <v>-20.7</v>
      </c>
      <c r="J69" s="224"/>
      <c r="K69" s="223"/>
      <c r="L69" s="222">
        <f t="shared" si="8"/>
        <v>0</v>
      </c>
      <c r="M69" s="242">
        <v>0.22760000000000002</v>
      </c>
    </row>
    <row r="70" spans="1:13" ht="15">
      <c r="A70" s="229" t="s">
        <v>141</v>
      </c>
      <c r="B70" t="s">
        <v>109</v>
      </c>
      <c r="C70" s="228">
        <v>14.9</v>
      </c>
      <c r="D70"/>
      <c r="E70" s="224"/>
      <c r="F70" s="229"/>
      <c r="G70" s="284"/>
      <c r="H70" s="225">
        <f t="shared" si="6"/>
        <v>-14.9</v>
      </c>
      <c r="I70" s="224">
        <f t="shared" si="7"/>
        <v>-14.9</v>
      </c>
      <c r="J70" s="224"/>
      <c r="K70" s="223"/>
      <c r="L70" s="222">
        <f t="shared" si="8"/>
        <v>0</v>
      </c>
      <c r="M70" s="242">
        <v>0.19949999999999998</v>
      </c>
    </row>
    <row r="71" spans="1:13" ht="15">
      <c r="A71" s="229" t="s">
        <v>142</v>
      </c>
      <c r="B71" t="s">
        <v>143</v>
      </c>
      <c r="C71" s="228">
        <v>100</v>
      </c>
      <c r="D71"/>
      <c r="E71" s="256"/>
      <c r="F71" s="229"/>
      <c r="G71" s="284"/>
      <c r="H71" s="225">
        <f t="shared" si="6"/>
        <v>-100</v>
      </c>
      <c r="I71" s="224">
        <f t="shared" si="7"/>
        <v>-100</v>
      </c>
      <c r="J71" s="224"/>
      <c r="K71" s="223"/>
      <c r="L71" s="222">
        <f t="shared" si="8"/>
        <v>0</v>
      </c>
      <c r="M71" s="242">
        <v>0.60680000000000001</v>
      </c>
    </row>
    <row r="72" spans="1:13">
      <c r="A72" s="274"/>
      <c r="B72" s="275"/>
      <c r="C72" s="276"/>
      <c r="D72" s="277"/>
      <c r="E72" s="278"/>
      <c r="F72" s="279"/>
      <c r="G72" s="278"/>
      <c r="H72" s="280"/>
      <c r="I72" s="278"/>
      <c r="J72" s="278"/>
      <c r="K72" s="281"/>
      <c r="L72" s="282"/>
      <c r="M72" s="283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AD16-2E92-8D47-A4F0-6817915CB72A}">
  <sheetPr codeName="Munka16"/>
  <dimension ref="A1:Y91"/>
  <sheetViews>
    <sheetView topLeftCell="A26" workbookViewId="0">
      <selection activeCell="AF36" sqref="AF36"/>
    </sheetView>
  </sheetViews>
  <sheetFormatPr defaultColWidth="11.42578125" defaultRowHeight="15"/>
  <cols>
    <col min="1" max="1" width="15.42578125" bestFit="1" customWidth="1"/>
    <col min="2" max="2" width="50.85546875" bestFit="1" customWidth="1"/>
    <col min="3" max="3" width="16.28515625" customWidth="1"/>
    <col min="4" max="4" width="13" customWidth="1"/>
    <col min="5" max="5" width="35.85546875" customWidth="1"/>
    <col min="6" max="6" width="12.42578125" customWidth="1"/>
    <col min="7" max="7" width="8.85546875" customWidth="1"/>
    <col min="8" max="8" width="13.42578125" customWidth="1"/>
    <col min="9" max="9" width="8.85546875" customWidth="1"/>
  </cols>
  <sheetData>
    <row r="1" spans="1:25" ht="63">
      <c r="A1" s="370" t="s">
        <v>309</v>
      </c>
      <c r="B1" s="370" t="s">
        <v>589</v>
      </c>
      <c r="C1" s="371" t="s">
        <v>590</v>
      </c>
      <c r="D1" s="372" t="s">
        <v>591</v>
      </c>
      <c r="E1" s="373" t="s">
        <v>592</v>
      </c>
      <c r="F1" s="374" t="s">
        <v>593</v>
      </c>
      <c r="G1" s="374" t="s">
        <v>594</v>
      </c>
      <c r="H1" s="374" t="s">
        <v>595</v>
      </c>
      <c r="I1" s="374" t="s">
        <v>596</v>
      </c>
      <c r="J1" s="16" t="s">
        <v>597</v>
      </c>
    </row>
    <row r="2" spans="1:25" ht="21">
      <c r="A2" s="375" t="s">
        <v>598</v>
      </c>
      <c r="B2" s="375" t="s">
        <v>24</v>
      </c>
      <c r="C2" s="376">
        <v>11.6</v>
      </c>
      <c r="D2" s="376">
        <f>C2/1000</f>
        <v>1.1599999999999999E-2</v>
      </c>
      <c r="E2" s="377">
        <f t="shared" ref="E2:E37" si="0">SUM(J2:Q2)</f>
        <v>18400</v>
      </c>
      <c r="F2" s="378">
        <f>E2*D2</f>
        <v>213.44</v>
      </c>
      <c r="G2" s="378">
        <v>3.21</v>
      </c>
      <c r="H2" s="378">
        <f>G2*F2</f>
        <v>685.14239999999995</v>
      </c>
      <c r="I2" s="379">
        <f>H2*$K$1</f>
        <v>0</v>
      </c>
      <c r="J2" s="380">
        <v>18400</v>
      </c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</row>
    <row r="3" spans="1:25" ht="21">
      <c r="A3" s="375" t="s">
        <v>598</v>
      </c>
      <c r="B3" s="375" t="s">
        <v>377</v>
      </c>
      <c r="C3" s="376">
        <v>14</v>
      </c>
      <c r="D3" s="376">
        <f t="shared" ref="D3:D80" si="1">C3/1000</f>
        <v>1.4E-2</v>
      </c>
      <c r="E3" s="377">
        <f t="shared" si="0"/>
        <v>162000</v>
      </c>
      <c r="F3" s="378">
        <f t="shared" ref="F3:F74" si="2">E3*D3</f>
        <v>2268</v>
      </c>
      <c r="G3" s="378">
        <v>3.21</v>
      </c>
      <c r="H3" s="378">
        <f t="shared" ref="H3:H74" si="3">G3*F3</f>
        <v>7280.28</v>
      </c>
      <c r="I3" s="379">
        <f t="shared" ref="I3:I74" si="4">H3*$K$1</f>
        <v>0</v>
      </c>
      <c r="J3" s="380">
        <v>162000</v>
      </c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1"/>
    </row>
    <row r="4" spans="1:25" ht="21">
      <c r="A4" s="375" t="s">
        <v>598</v>
      </c>
      <c r="B4" s="375" t="s">
        <v>25</v>
      </c>
      <c r="C4" s="376">
        <v>34</v>
      </c>
      <c r="D4" s="376">
        <f t="shared" si="1"/>
        <v>3.4000000000000002E-2</v>
      </c>
      <c r="E4" s="377">
        <f t="shared" si="0"/>
        <v>399</v>
      </c>
      <c r="F4" s="378">
        <f t="shared" si="2"/>
        <v>13.566000000000001</v>
      </c>
      <c r="G4" s="378">
        <v>3.21</v>
      </c>
      <c r="H4" s="378">
        <f t="shared" si="3"/>
        <v>43.546860000000002</v>
      </c>
      <c r="I4" s="379">
        <f t="shared" si="4"/>
        <v>0</v>
      </c>
      <c r="J4" s="380">
        <v>399</v>
      </c>
      <c r="K4" s="381"/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381"/>
      <c r="Y4" s="381"/>
    </row>
    <row r="5" spans="1:25" ht="21">
      <c r="A5" s="375" t="s">
        <v>598</v>
      </c>
      <c r="B5" s="375" t="s">
        <v>15</v>
      </c>
      <c r="C5" s="376">
        <v>13.8</v>
      </c>
      <c r="D5" s="376">
        <f t="shared" si="1"/>
        <v>1.3800000000000002E-2</v>
      </c>
      <c r="E5" s="377">
        <f t="shared" si="0"/>
        <v>24750</v>
      </c>
      <c r="F5" s="378">
        <f t="shared" si="2"/>
        <v>341.55</v>
      </c>
      <c r="G5" s="378">
        <v>3.21</v>
      </c>
      <c r="H5" s="378">
        <f t="shared" si="3"/>
        <v>1096.3755000000001</v>
      </c>
      <c r="I5" s="379">
        <f t="shared" si="4"/>
        <v>0</v>
      </c>
      <c r="J5" s="380">
        <v>24750</v>
      </c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1"/>
    </row>
    <row r="6" spans="1:25" ht="21">
      <c r="A6" s="375" t="s">
        <v>598</v>
      </c>
      <c r="B6" s="375" t="s">
        <v>50</v>
      </c>
      <c r="C6" s="376">
        <v>65.3</v>
      </c>
      <c r="D6" s="376">
        <f t="shared" si="1"/>
        <v>6.5299999999999997E-2</v>
      </c>
      <c r="E6" s="377">
        <f t="shared" si="0"/>
        <v>8550</v>
      </c>
      <c r="F6" s="378">
        <f t="shared" si="2"/>
        <v>558.31499999999994</v>
      </c>
      <c r="G6" s="378">
        <v>3.21</v>
      </c>
      <c r="H6" s="378">
        <f t="shared" si="3"/>
        <v>1792.1911499999999</v>
      </c>
      <c r="I6" s="379">
        <f t="shared" si="4"/>
        <v>0</v>
      </c>
      <c r="J6" s="380">
        <v>8550</v>
      </c>
      <c r="K6" s="381"/>
      <c r="L6" s="381"/>
      <c r="M6" s="381"/>
      <c r="N6" s="381"/>
      <c r="O6" s="381"/>
      <c r="P6" s="381"/>
      <c r="Q6" s="381"/>
      <c r="R6" s="381"/>
      <c r="S6" s="381"/>
      <c r="T6" s="381"/>
      <c r="U6" s="381"/>
      <c r="V6" s="381"/>
      <c r="W6" s="381"/>
      <c r="X6" s="381"/>
      <c r="Y6" s="381"/>
    </row>
    <row r="7" spans="1:25" ht="21">
      <c r="A7" s="375" t="s">
        <v>598</v>
      </c>
      <c r="B7" s="375" t="s">
        <v>17</v>
      </c>
      <c r="C7" s="376">
        <v>17</v>
      </c>
      <c r="D7" s="376">
        <f t="shared" si="1"/>
        <v>1.7000000000000001E-2</v>
      </c>
      <c r="E7" s="377">
        <f t="shared" si="0"/>
        <v>1221</v>
      </c>
      <c r="F7" s="378">
        <f t="shared" si="2"/>
        <v>20.757000000000001</v>
      </c>
      <c r="G7" s="378">
        <v>3.21</v>
      </c>
      <c r="H7" s="378">
        <f t="shared" si="3"/>
        <v>66.62997</v>
      </c>
      <c r="I7" s="379">
        <f t="shared" si="4"/>
        <v>0</v>
      </c>
      <c r="J7" s="380">
        <v>1221</v>
      </c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</row>
    <row r="8" spans="1:25" ht="21">
      <c r="A8" s="375" t="s">
        <v>598</v>
      </c>
      <c r="B8" s="375" t="s">
        <v>19</v>
      </c>
      <c r="C8" s="376">
        <v>28.52</v>
      </c>
      <c r="D8" s="376">
        <f t="shared" si="1"/>
        <v>2.852E-2</v>
      </c>
      <c r="E8" s="377">
        <f t="shared" si="0"/>
        <v>26600</v>
      </c>
      <c r="F8" s="378">
        <f t="shared" si="2"/>
        <v>758.63200000000006</v>
      </c>
      <c r="G8" s="378">
        <v>3.21</v>
      </c>
      <c r="H8" s="378">
        <f t="shared" si="3"/>
        <v>2435.2087200000001</v>
      </c>
      <c r="I8" s="379">
        <f t="shared" si="4"/>
        <v>0</v>
      </c>
      <c r="J8" s="380">
        <v>26600</v>
      </c>
      <c r="K8" s="381"/>
      <c r="L8" s="381"/>
      <c r="M8" s="381"/>
      <c r="N8" s="381"/>
      <c r="O8" s="381"/>
      <c r="P8" s="381"/>
      <c r="Q8" s="381"/>
      <c r="R8" s="381"/>
      <c r="S8" s="381"/>
      <c r="T8" s="381"/>
      <c r="U8" s="381"/>
      <c r="V8" s="381"/>
      <c r="W8" s="381"/>
      <c r="X8" s="381"/>
      <c r="Y8" s="381"/>
    </row>
    <row r="9" spans="1:25" ht="21">
      <c r="A9" s="375" t="s">
        <v>598</v>
      </c>
      <c r="B9" s="375" t="s">
        <v>18</v>
      </c>
      <c r="C9" s="376">
        <v>29.93</v>
      </c>
      <c r="D9" s="376">
        <f t="shared" si="1"/>
        <v>2.9929999999999998E-2</v>
      </c>
      <c r="E9" s="377">
        <f t="shared" si="0"/>
        <v>6400</v>
      </c>
      <c r="F9" s="378">
        <f t="shared" si="2"/>
        <v>191.55199999999999</v>
      </c>
      <c r="G9" s="378">
        <v>3.21</v>
      </c>
      <c r="H9" s="378">
        <f t="shared" si="3"/>
        <v>614.88191999999992</v>
      </c>
      <c r="I9" s="379">
        <f t="shared" si="4"/>
        <v>0</v>
      </c>
      <c r="J9" s="380">
        <v>6400</v>
      </c>
      <c r="K9" s="381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381"/>
    </row>
    <row r="10" spans="1:25" ht="21">
      <c r="A10" s="375" t="s">
        <v>598</v>
      </c>
      <c r="B10" s="375" t="s">
        <v>16</v>
      </c>
      <c r="C10" s="376">
        <v>10.5</v>
      </c>
      <c r="D10" s="376">
        <f t="shared" si="1"/>
        <v>1.0500000000000001E-2</v>
      </c>
      <c r="E10" s="377">
        <f t="shared" si="0"/>
        <v>11000</v>
      </c>
      <c r="F10" s="378">
        <f t="shared" si="2"/>
        <v>115.50000000000001</v>
      </c>
      <c r="G10" s="378">
        <v>3.21</v>
      </c>
      <c r="H10" s="378">
        <f t="shared" si="3"/>
        <v>370.75500000000005</v>
      </c>
      <c r="I10" s="379">
        <f t="shared" si="4"/>
        <v>0</v>
      </c>
      <c r="J10" s="380">
        <v>11000</v>
      </c>
      <c r="K10" s="381"/>
      <c r="L10" s="381"/>
      <c r="M10" s="381"/>
      <c r="N10" s="381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</row>
    <row r="11" spans="1:25" ht="21">
      <c r="A11" s="375" t="s">
        <v>598</v>
      </c>
      <c r="B11" s="375" t="s">
        <v>20</v>
      </c>
      <c r="C11" s="376">
        <v>21.43</v>
      </c>
      <c r="D11" s="376">
        <f t="shared" si="1"/>
        <v>2.1430000000000001E-2</v>
      </c>
      <c r="E11" s="377">
        <f t="shared" si="0"/>
        <v>4500</v>
      </c>
      <c r="F11" s="378">
        <f t="shared" si="2"/>
        <v>96.435000000000002</v>
      </c>
      <c r="G11" s="378">
        <v>3.21</v>
      </c>
      <c r="H11" s="378">
        <f t="shared" si="3"/>
        <v>309.55635000000001</v>
      </c>
      <c r="I11" s="379">
        <f t="shared" si="4"/>
        <v>0</v>
      </c>
      <c r="J11" s="380">
        <v>4500</v>
      </c>
      <c r="K11" s="381"/>
      <c r="L11" s="381"/>
      <c r="M11" s="381"/>
      <c r="N11" s="381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</row>
    <row r="12" spans="1:25" ht="21">
      <c r="A12" s="375" t="s">
        <v>598</v>
      </c>
      <c r="B12" s="375" t="s">
        <v>43</v>
      </c>
      <c r="C12" s="376"/>
      <c r="D12" s="376">
        <f t="shared" si="1"/>
        <v>0</v>
      </c>
      <c r="E12" s="377">
        <f t="shared" si="0"/>
        <v>28469</v>
      </c>
      <c r="F12" s="378">
        <f t="shared" si="2"/>
        <v>0</v>
      </c>
      <c r="G12" s="378">
        <v>3.21</v>
      </c>
      <c r="H12" s="378">
        <f t="shared" si="3"/>
        <v>0</v>
      </c>
      <c r="I12" s="379">
        <f t="shared" si="4"/>
        <v>0</v>
      </c>
      <c r="J12" s="380">
        <v>28469</v>
      </c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</row>
    <row r="13" spans="1:25" ht="21">
      <c r="A13" s="375" t="s">
        <v>312</v>
      </c>
      <c r="B13" s="375" t="s">
        <v>599</v>
      </c>
      <c r="C13" s="376">
        <v>21.6</v>
      </c>
      <c r="D13" s="376">
        <f t="shared" si="1"/>
        <v>2.1600000000000001E-2</v>
      </c>
      <c r="E13" s="377">
        <f t="shared" si="0"/>
        <v>4720</v>
      </c>
      <c r="F13" s="378">
        <f t="shared" si="2"/>
        <v>101.95200000000001</v>
      </c>
      <c r="G13" s="378">
        <v>3.21</v>
      </c>
      <c r="H13" s="378">
        <f t="shared" si="3"/>
        <v>327.26592000000005</v>
      </c>
      <c r="I13" s="379">
        <f t="shared" si="4"/>
        <v>0</v>
      </c>
      <c r="J13" s="380">
        <v>4720</v>
      </c>
      <c r="K13" s="381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</row>
    <row r="14" spans="1:25" ht="21">
      <c r="A14" s="375" t="s">
        <v>312</v>
      </c>
      <c r="B14" s="375" t="s">
        <v>600</v>
      </c>
      <c r="C14" s="376">
        <v>14.85</v>
      </c>
      <c r="D14" s="376">
        <f t="shared" si="1"/>
        <v>1.485E-2</v>
      </c>
      <c r="E14" s="377">
        <f t="shared" si="0"/>
        <v>3616</v>
      </c>
      <c r="F14" s="378">
        <f t="shared" si="2"/>
        <v>53.697600000000001</v>
      </c>
      <c r="G14" s="378">
        <v>3.21</v>
      </c>
      <c r="H14" s="378">
        <f t="shared" si="3"/>
        <v>172.36929599999999</v>
      </c>
      <c r="I14" s="379">
        <f t="shared" si="4"/>
        <v>0</v>
      </c>
      <c r="J14" s="380">
        <v>3616</v>
      </c>
      <c r="K14" s="381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</row>
    <row r="15" spans="1:25" ht="21">
      <c r="A15" s="375" t="s">
        <v>312</v>
      </c>
      <c r="B15" s="375" t="s">
        <v>601</v>
      </c>
      <c r="C15" s="376">
        <v>15.6</v>
      </c>
      <c r="D15" s="376">
        <f t="shared" si="1"/>
        <v>1.5599999999999999E-2</v>
      </c>
      <c r="E15" s="377">
        <f t="shared" si="0"/>
        <v>3000</v>
      </c>
      <c r="F15" s="378">
        <f t="shared" si="2"/>
        <v>46.8</v>
      </c>
      <c r="G15" s="378">
        <v>3.21</v>
      </c>
      <c r="H15" s="378">
        <f t="shared" si="3"/>
        <v>150.22799999999998</v>
      </c>
      <c r="I15" s="379">
        <f t="shared" si="4"/>
        <v>0</v>
      </c>
      <c r="J15" s="380">
        <v>3000</v>
      </c>
      <c r="K15" s="381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381"/>
    </row>
    <row r="16" spans="1:25" ht="21">
      <c r="A16" s="375" t="s">
        <v>312</v>
      </c>
      <c r="B16" s="375" t="s">
        <v>602</v>
      </c>
      <c r="C16" s="376">
        <v>8.1</v>
      </c>
      <c r="D16" s="376">
        <f t="shared" si="1"/>
        <v>8.0999999999999996E-3</v>
      </c>
      <c r="E16" s="377">
        <f t="shared" si="0"/>
        <v>495</v>
      </c>
      <c r="F16" s="378">
        <f t="shared" si="2"/>
        <v>4.0095000000000001</v>
      </c>
      <c r="G16" s="378">
        <v>3.21</v>
      </c>
      <c r="H16" s="378">
        <f t="shared" si="3"/>
        <v>12.870495</v>
      </c>
      <c r="I16" s="379">
        <f t="shared" si="4"/>
        <v>0</v>
      </c>
      <c r="J16" s="380">
        <v>495</v>
      </c>
      <c r="K16" s="381"/>
      <c r="L16" s="381"/>
      <c r="M16" s="381"/>
      <c r="N16" s="381"/>
      <c r="O16" s="381"/>
      <c r="P16" s="381"/>
      <c r="Q16" s="381"/>
      <c r="R16" s="381"/>
      <c r="S16" s="381"/>
      <c r="T16" s="381"/>
      <c r="U16" s="381"/>
      <c r="V16" s="381"/>
      <c r="W16" s="381"/>
      <c r="X16" s="381"/>
      <c r="Y16" s="381"/>
    </row>
    <row r="17" spans="1:25" ht="21">
      <c r="A17" s="375" t="s">
        <v>312</v>
      </c>
      <c r="B17" s="375" t="s">
        <v>603</v>
      </c>
      <c r="C17" s="376">
        <v>12</v>
      </c>
      <c r="D17" s="376">
        <f t="shared" si="1"/>
        <v>1.2E-2</v>
      </c>
      <c r="E17" s="377">
        <f t="shared" si="0"/>
        <v>2698</v>
      </c>
      <c r="F17" s="378">
        <f t="shared" si="2"/>
        <v>32.375999999999998</v>
      </c>
      <c r="G17" s="378">
        <v>3.21</v>
      </c>
      <c r="H17" s="378">
        <f t="shared" si="3"/>
        <v>103.92695999999999</v>
      </c>
      <c r="I17" s="379">
        <f t="shared" si="4"/>
        <v>0</v>
      </c>
      <c r="J17" s="380">
        <v>2698</v>
      </c>
      <c r="K17" s="381"/>
      <c r="L17" s="381"/>
      <c r="M17" s="381"/>
      <c r="N17" s="381"/>
      <c r="O17" s="381"/>
      <c r="P17" s="381"/>
      <c r="Q17" s="381"/>
      <c r="R17" s="381"/>
      <c r="S17" s="381"/>
      <c r="T17" s="381"/>
      <c r="U17" s="381"/>
      <c r="V17" s="381"/>
      <c r="W17" s="381"/>
      <c r="X17" s="381"/>
      <c r="Y17" s="381"/>
    </row>
    <row r="18" spans="1:25" ht="21">
      <c r="A18" s="375" t="s">
        <v>312</v>
      </c>
      <c r="B18" s="375" t="s">
        <v>35</v>
      </c>
      <c r="C18" s="376">
        <v>12.5</v>
      </c>
      <c r="D18" s="376">
        <f t="shared" si="1"/>
        <v>1.2500000000000001E-2</v>
      </c>
      <c r="E18" s="377">
        <f t="shared" si="0"/>
        <v>3622</v>
      </c>
      <c r="F18" s="378">
        <f t="shared" si="2"/>
        <v>45.275000000000006</v>
      </c>
      <c r="G18" s="378">
        <v>3.21</v>
      </c>
      <c r="H18" s="378">
        <f t="shared" si="3"/>
        <v>145.33275</v>
      </c>
      <c r="I18" s="379">
        <f t="shared" si="4"/>
        <v>0</v>
      </c>
      <c r="J18" s="380">
        <v>3622</v>
      </c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</row>
    <row r="19" spans="1:25" ht="21">
      <c r="A19" s="375" t="s">
        <v>312</v>
      </c>
      <c r="B19" s="375" t="s">
        <v>604</v>
      </c>
      <c r="C19" s="376">
        <v>17.399999999999999</v>
      </c>
      <c r="D19" s="376">
        <f t="shared" si="1"/>
        <v>1.7399999999999999E-2</v>
      </c>
      <c r="E19" s="377">
        <f t="shared" si="0"/>
        <v>430</v>
      </c>
      <c r="F19" s="378">
        <f t="shared" si="2"/>
        <v>7.4819999999999993</v>
      </c>
      <c r="G19" s="378">
        <v>3.21</v>
      </c>
      <c r="H19" s="378">
        <f t="shared" si="3"/>
        <v>24.017219999999998</v>
      </c>
      <c r="I19" s="379">
        <f t="shared" si="4"/>
        <v>0</v>
      </c>
      <c r="J19" s="380">
        <v>430</v>
      </c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</row>
    <row r="20" spans="1:25" ht="21">
      <c r="A20" s="375" t="s">
        <v>312</v>
      </c>
      <c r="B20" s="375" t="s">
        <v>605</v>
      </c>
      <c r="C20" s="376">
        <v>7</v>
      </c>
      <c r="D20" s="376">
        <f t="shared" si="1"/>
        <v>7.0000000000000001E-3</v>
      </c>
      <c r="E20" s="377">
        <f t="shared" si="0"/>
        <v>539</v>
      </c>
      <c r="F20" s="378">
        <f t="shared" si="2"/>
        <v>3.7730000000000001</v>
      </c>
      <c r="G20" s="378">
        <v>3.21</v>
      </c>
      <c r="H20" s="378">
        <f t="shared" si="3"/>
        <v>12.111330000000001</v>
      </c>
      <c r="I20" s="379">
        <f t="shared" si="4"/>
        <v>0</v>
      </c>
      <c r="J20" s="380">
        <v>539</v>
      </c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</row>
    <row r="21" spans="1:25" ht="21">
      <c r="A21" s="375" t="s">
        <v>312</v>
      </c>
      <c r="B21" s="375" t="s">
        <v>606</v>
      </c>
      <c r="C21" s="376">
        <v>12.200000000000001</v>
      </c>
      <c r="D21" s="376">
        <f t="shared" si="1"/>
        <v>1.2200000000000001E-2</v>
      </c>
      <c r="E21" s="377">
        <f t="shared" si="0"/>
        <v>2210</v>
      </c>
      <c r="F21" s="378">
        <f t="shared" si="2"/>
        <v>26.962000000000003</v>
      </c>
      <c r="G21" s="378">
        <v>3.21</v>
      </c>
      <c r="H21" s="378">
        <f t="shared" si="3"/>
        <v>86.548020000000008</v>
      </c>
      <c r="I21" s="379">
        <f t="shared" si="4"/>
        <v>0</v>
      </c>
      <c r="J21" s="380">
        <v>2210</v>
      </c>
      <c r="K21" s="381"/>
      <c r="L21" s="381"/>
      <c r="M21" s="381"/>
      <c r="N21" s="381"/>
      <c r="O21" s="381"/>
      <c r="P21" s="381"/>
      <c r="Q21" s="381"/>
      <c r="R21" s="381"/>
      <c r="S21" s="381"/>
      <c r="T21" s="381"/>
      <c r="U21" s="381"/>
      <c r="V21" s="381"/>
      <c r="W21" s="381"/>
      <c r="X21" s="381"/>
      <c r="Y21" s="381"/>
    </row>
    <row r="22" spans="1:25" ht="21">
      <c r="A22" s="375" t="s">
        <v>312</v>
      </c>
      <c r="B22" s="375" t="s">
        <v>607</v>
      </c>
      <c r="C22" s="376">
        <v>24.5</v>
      </c>
      <c r="D22" s="376">
        <f t="shared" si="1"/>
        <v>2.4500000000000001E-2</v>
      </c>
      <c r="E22" s="377">
        <f t="shared" si="0"/>
        <v>2622</v>
      </c>
      <c r="F22" s="378">
        <f t="shared" si="2"/>
        <v>64.239000000000004</v>
      </c>
      <c r="G22" s="378">
        <v>3.21</v>
      </c>
      <c r="H22" s="378">
        <f t="shared" si="3"/>
        <v>206.20719000000003</v>
      </c>
      <c r="I22" s="379">
        <f t="shared" si="4"/>
        <v>0</v>
      </c>
      <c r="J22" s="380">
        <v>0</v>
      </c>
      <c r="K22" s="382">
        <v>3622</v>
      </c>
      <c r="L22" s="381">
        <v>-1000</v>
      </c>
      <c r="M22" s="381"/>
      <c r="N22" s="381"/>
      <c r="O22" s="381"/>
      <c r="P22" s="381"/>
      <c r="Q22" s="381"/>
      <c r="R22" s="381"/>
      <c r="S22" s="381"/>
      <c r="T22" s="381"/>
      <c r="U22" s="381"/>
      <c r="V22" s="381"/>
      <c r="W22" s="381"/>
      <c r="X22" s="381"/>
      <c r="Y22" s="381"/>
    </row>
    <row r="23" spans="1:25" ht="21">
      <c r="A23" s="375" t="s">
        <v>312</v>
      </c>
      <c r="B23" s="375" t="s">
        <v>608</v>
      </c>
      <c r="C23" s="376">
        <v>18.5</v>
      </c>
      <c r="D23" s="376">
        <f t="shared" si="1"/>
        <v>1.8499999999999999E-2</v>
      </c>
      <c r="E23" s="377">
        <f t="shared" si="0"/>
        <v>0</v>
      </c>
      <c r="F23" s="378">
        <f t="shared" si="2"/>
        <v>0</v>
      </c>
      <c r="G23" s="378">
        <v>3.21</v>
      </c>
      <c r="H23" s="378">
        <f t="shared" si="3"/>
        <v>0</v>
      </c>
      <c r="I23" s="379">
        <f t="shared" si="4"/>
        <v>0</v>
      </c>
      <c r="J23" s="380">
        <v>0</v>
      </c>
      <c r="K23" s="381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</row>
    <row r="24" spans="1:25" ht="21">
      <c r="A24" s="375" t="s">
        <v>312</v>
      </c>
      <c r="B24" s="375" t="s">
        <v>609</v>
      </c>
      <c r="C24" s="376">
        <v>8.3000000000000007</v>
      </c>
      <c r="D24" s="376">
        <f t="shared" si="1"/>
        <v>8.3000000000000001E-3</v>
      </c>
      <c r="E24" s="377">
        <f t="shared" si="0"/>
        <v>2288</v>
      </c>
      <c r="F24" s="378">
        <f t="shared" si="2"/>
        <v>18.990400000000001</v>
      </c>
      <c r="G24" s="378">
        <v>3.21</v>
      </c>
      <c r="H24" s="378">
        <f t="shared" si="3"/>
        <v>60.959184</v>
      </c>
      <c r="I24" s="379">
        <f t="shared" si="4"/>
        <v>0</v>
      </c>
      <c r="J24" s="380">
        <v>2288</v>
      </c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</row>
    <row r="25" spans="1:25" ht="21">
      <c r="A25" s="375" t="s">
        <v>312</v>
      </c>
      <c r="B25" s="375" t="s">
        <v>610</v>
      </c>
      <c r="C25" s="376">
        <v>92.53</v>
      </c>
      <c r="D25" s="376">
        <f t="shared" si="1"/>
        <v>9.2530000000000001E-2</v>
      </c>
      <c r="E25" s="377">
        <f t="shared" si="0"/>
        <v>3846</v>
      </c>
      <c r="F25" s="378">
        <f t="shared" si="2"/>
        <v>355.87038000000001</v>
      </c>
      <c r="G25" s="378">
        <v>3.21</v>
      </c>
      <c r="H25" s="378">
        <f t="shared" si="3"/>
        <v>1142.3439198000001</v>
      </c>
      <c r="I25" s="379">
        <f t="shared" si="4"/>
        <v>0</v>
      </c>
      <c r="J25" s="380">
        <v>3846</v>
      </c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</row>
    <row r="26" spans="1:25" ht="21">
      <c r="A26" s="375" t="s">
        <v>312</v>
      </c>
      <c r="B26" s="375" t="s">
        <v>611</v>
      </c>
      <c r="C26" s="376">
        <v>92.56</v>
      </c>
      <c r="D26" s="376">
        <f t="shared" si="1"/>
        <v>9.2560000000000003E-2</v>
      </c>
      <c r="E26" s="377">
        <f t="shared" si="0"/>
        <v>1164</v>
      </c>
      <c r="F26" s="378">
        <f t="shared" si="2"/>
        <v>107.73984</v>
      </c>
      <c r="G26" s="378">
        <v>3.21</v>
      </c>
      <c r="H26" s="378">
        <f t="shared" si="3"/>
        <v>345.84488640000001</v>
      </c>
      <c r="I26" s="379">
        <f t="shared" si="4"/>
        <v>0</v>
      </c>
      <c r="J26" s="380">
        <v>1364</v>
      </c>
      <c r="K26" s="381">
        <v>-200</v>
      </c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</row>
    <row r="27" spans="1:25" ht="21">
      <c r="A27" s="375" t="s">
        <v>312</v>
      </c>
      <c r="B27" s="375" t="s">
        <v>612</v>
      </c>
      <c r="C27" s="376">
        <v>8.3000000000000007</v>
      </c>
      <c r="D27" s="376">
        <f t="shared" si="1"/>
        <v>8.3000000000000001E-3</v>
      </c>
      <c r="E27" s="377">
        <f t="shared" si="0"/>
        <v>0</v>
      </c>
      <c r="F27" s="378">
        <f t="shared" si="2"/>
        <v>0</v>
      </c>
      <c r="G27" s="378">
        <v>3.21</v>
      </c>
      <c r="H27" s="378">
        <f t="shared" si="3"/>
        <v>0</v>
      </c>
      <c r="I27" s="379">
        <f t="shared" si="4"/>
        <v>0</v>
      </c>
      <c r="J27" s="380">
        <v>0</v>
      </c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</row>
    <row r="28" spans="1:25" ht="21">
      <c r="A28" s="375" t="s">
        <v>312</v>
      </c>
      <c r="B28" s="375" t="s">
        <v>613</v>
      </c>
      <c r="C28" s="376">
        <v>8.3000000000000007</v>
      </c>
      <c r="D28" s="376">
        <f t="shared" si="1"/>
        <v>8.3000000000000001E-3</v>
      </c>
      <c r="E28" s="377">
        <f t="shared" si="0"/>
        <v>0</v>
      </c>
      <c r="F28" s="378">
        <f t="shared" si="2"/>
        <v>0</v>
      </c>
      <c r="G28" s="378">
        <v>3.21</v>
      </c>
      <c r="H28" s="378">
        <f t="shared" si="3"/>
        <v>0</v>
      </c>
      <c r="I28" s="379">
        <f t="shared" si="4"/>
        <v>0</v>
      </c>
      <c r="J28" s="380">
        <v>0</v>
      </c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</row>
    <row r="29" spans="1:25" ht="21">
      <c r="A29" s="375" t="s">
        <v>312</v>
      </c>
      <c r="B29" s="375" t="s">
        <v>614</v>
      </c>
      <c r="C29" s="376">
        <v>2.5</v>
      </c>
      <c r="D29" s="376">
        <f t="shared" si="1"/>
        <v>2.5000000000000001E-3</v>
      </c>
      <c r="E29" s="377">
        <f t="shared" si="0"/>
        <v>0</v>
      </c>
      <c r="F29" s="378">
        <f t="shared" si="2"/>
        <v>0</v>
      </c>
      <c r="G29" s="378">
        <v>3.21</v>
      </c>
      <c r="H29" s="378">
        <f t="shared" si="3"/>
        <v>0</v>
      </c>
      <c r="I29" s="379">
        <f t="shared" si="4"/>
        <v>0</v>
      </c>
      <c r="J29" s="380">
        <v>0</v>
      </c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</row>
    <row r="30" spans="1:25" ht="21">
      <c r="A30" s="375" t="s">
        <v>312</v>
      </c>
      <c r="B30" s="375" t="s">
        <v>36</v>
      </c>
      <c r="C30" s="376">
        <v>5.2</v>
      </c>
      <c r="D30" s="376">
        <f t="shared" si="1"/>
        <v>5.1999999999999998E-3</v>
      </c>
      <c r="E30" s="377">
        <f t="shared" si="0"/>
        <v>2600</v>
      </c>
      <c r="F30" s="378">
        <f t="shared" si="2"/>
        <v>13.52</v>
      </c>
      <c r="G30" s="378">
        <v>3.21</v>
      </c>
      <c r="H30" s="378">
        <f t="shared" si="3"/>
        <v>43.3992</v>
      </c>
      <c r="I30" s="379">
        <f t="shared" si="4"/>
        <v>0</v>
      </c>
      <c r="J30" s="380">
        <v>2600</v>
      </c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</row>
    <row r="31" spans="1:25" ht="21">
      <c r="A31" s="375" t="s">
        <v>312</v>
      </c>
      <c r="B31" s="375" t="s">
        <v>615</v>
      </c>
      <c r="C31" s="376">
        <v>14.9</v>
      </c>
      <c r="D31" s="376">
        <f t="shared" si="1"/>
        <v>1.49E-2</v>
      </c>
      <c r="E31" s="377">
        <f t="shared" si="0"/>
        <v>255</v>
      </c>
      <c r="F31" s="378">
        <f t="shared" si="2"/>
        <v>3.7995000000000001</v>
      </c>
      <c r="G31" s="378">
        <v>3.21</v>
      </c>
      <c r="H31" s="378">
        <f t="shared" si="3"/>
        <v>12.196395000000001</v>
      </c>
      <c r="I31" s="379">
        <f t="shared" si="4"/>
        <v>0</v>
      </c>
      <c r="J31" s="380">
        <v>255</v>
      </c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</row>
    <row r="32" spans="1:25" ht="21">
      <c r="A32" s="375" t="s">
        <v>312</v>
      </c>
      <c r="B32" s="375" t="s">
        <v>616</v>
      </c>
      <c r="C32" s="376">
        <v>22.34</v>
      </c>
      <c r="D32" s="376">
        <f t="shared" si="1"/>
        <v>2.2339999999999999E-2</v>
      </c>
      <c r="E32" s="377">
        <f t="shared" si="0"/>
        <v>25316</v>
      </c>
      <c r="F32" s="378">
        <f t="shared" si="2"/>
        <v>565.55944</v>
      </c>
      <c r="G32" s="378">
        <v>3.21</v>
      </c>
      <c r="H32" s="378">
        <f t="shared" si="3"/>
        <v>1815.4458024</v>
      </c>
      <c r="I32" s="379">
        <f t="shared" si="4"/>
        <v>0</v>
      </c>
      <c r="J32" s="380">
        <v>30316</v>
      </c>
      <c r="K32" s="381">
        <v>-500</v>
      </c>
      <c r="L32" s="381">
        <v>-2000</v>
      </c>
      <c r="M32" s="381">
        <v>-2000</v>
      </c>
      <c r="N32" s="381">
        <v>-500</v>
      </c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</row>
    <row r="33" spans="1:25" ht="21">
      <c r="A33" s="375" t="s">
        <v>312</v>
      </c>
      <c r="B33" s="375" t="s">
        <v>617</v>
      </c>
      <c r="C33" s="376">
        <v>23.599999999999998</v>
      </c>
      <c r="D33" s="376">
        <f t="shared" si="1"/>
        <v>2.3599999999999999E-2</v>
      </c>
      <c r="E33" s="377">
        <f t="shared" si="0"/>
        <v>4905</v>
      </c>
      <c r="F33" s="378">
        <f t="shared" si="2"/>
        <v>115.758</v>
      </c>
      <c r="G33" s="378">
        <v>3.21</v>
      </c>
      <c r="H33" s="378">
        <f t="shared" si="3"/>
        <v>371.58317999999997</v>
      </c>
      <c r="I33" s="379">
        <f t="shared" si="4"/>
        <v>0</v>
      </c>
      <c r="J33" s="380">
        <v>4905</v>
      </c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</row>
    <row r="34" spans="1:25" ht="21">
      <c r="A34" s="375" t="s">
        <v>312</v>
      </c>
      <c r="B34" s="375" t="s">
        <v>618</v>
      </c>
      <c r="C34" s="376">
        <v>25.3</v>
      </c>
      <c r="D34" s="376">
        <f t="shared" si="1"/>
        <v>2.53E-2</v>
      </c>
      <c r="E34" s="377">
        <f t="shared" si="0"/>
        <v>1345</v>
      </c>
      <c r="F34" s="378">
        <f t="shared" si="2"/>
        <v>34.028500000000001</v>
      </c>
      <c r="G34" s="378">
        <v>3.21</v>
      </c>
      <c r="H34" s="378">
        <f t="shared" si="3"/>
        <v>109.23148500000001</v>
      </c>
      <c r="I34" s="379">
        <f t="shared" si="4"/>
        <v>0</v>
      </c>
      <c r="J34" s="380">
        <v>1645</v>
      </c>
      <c r="K34" s="381">
        <v>-300</v>
      </c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</row>
    <row r="35" spans="1:25" ht="21">
      <c r="A35" s="375" t="s">
        <v>312</v>
      </c>
      <c r="B35" s="375" t="s">
        <v>619</v>
      </c>
      <c r="C35" s="376">
        <v>22.8</v>
      </c>
      <c r="D35" s="376">
        <f t="shared" si="1"/>
        <v>2.2800000000000001E-2</v>
      </c>
      <c r="E35" s="377">
        <f t="shared" si="0"/>
        <v>0</v>
      </c>
      <c r="F35" s="378">
        <f t="shared" si="2"/>
        <v>0</v>
      </c>
      <c r="G35" s="378">
        <v>3.21</v>
      </c>
      <c r="H35" s="378">
        <f t="shared" si="3"/>
        <v>0</v>
      </c>
      <c r="I35" s="379">
        <f t="shared" si="4"/>
        <v>0</v>
      </c>
      <c r="J35" s="380">
        <v>0</v>
      </c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</row>
    <row r="36" spans="1:25" ht="21">
      <c r="A36" s="375" t="s">
        <v>312</v>
      </c>
      <c r="B36" s="375" t="s">
        <v>37</v>
      </c>
      <c r="C36" s="376">
        <v>21.7</v>
      </c>
      <c r="D36" s="376">
        <f t="shared" si="1"/>
        <v>2.1700000000000001E-2</v>
      </c>
      <c r="E36" s="377">
        <f t="shared" si="0"/>
        <v>1587</v>
      </c>
      <c r="F36" s="378">
        <f t="shared" si="2"/>
        <v>34.437899999999999</v>
      </c>
      <c r="G36" s="378">
        <v>3.21</v>
      </c>
      <c r="H36" s="378">
        <f t="shared" si="3"/>
        <v>110.545659</v>
      </c>
      <c r="I36" s="379">
        <f t="shared" si="4"/>
        <v>0</v>
      </c>
      <c r="J36" s="380">
        <v>1587</v>
      </c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</row>
    <row r="37" spans="1:25" ht="21">
      <c r="A37" s="375" t="s">
        <v>312</v>
      </c>
      <c r="B37" s="375" t="s">
        <v>620</v>
      </c>
      <c r="C37" s="376">
        <v>60.9</v>
      </c>
      <c r="D37" s="376">
        <f t="shared" si="1"/>
        <v>6.0899999999999996E-2</v>
      </c>
      <c r="E37" s="377">
        <f t="shared" si="0"/>
        <v>0</v>
      </c>
      <c r="F37" s="378">
        <f t="shared" si="2"/>
        <v>0</v>
      </c>
      <c r="G37" s="378">
        <v>3.21</v>
      </c>
      <c r="H37" s="378">
        <f t="shared" si="3"/>
        <v>0</v>
      </c>
      <c r="I37" s="379">
        <f t="shared" si="4"/>
        <v>0</v>
      </c>
      <c r="J37" s="380">
        <v>0</v>
      </c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</row>
    <row r="38" spans="1:25" ht="21">
      <c r="A38" s="375" t="s">
        <v>312</v>
      </c>
      <c r="B38" s="375" t="s">
        <v>621</v>
      </c>
      <c r="C38" s="376">
        <v>47.550000000000004</v>
      </c>
      <c r="D38" s="376">
        <f t="shared" si="1"/>
        <v>4.7550000000000002E-2</v>
      </c>
      <c r="E38" s="377">
        <f>SUM(J38:Q38)</f>
        <v>220</v>
      </c>
      <c r="F38" s="378">
        <f t="shared" si="2"/>
        <v>10.461</v>
      </c>
      <c r="G38" s="378">
        <v>3.21</v>
      </c>
      <c r="H38" s="378">
        <f t="shared" si="3"/>
        <v>33.579810000000002</v>
      </c>
      <c r="I38" s="379">
        <f t="shared" si="4"/>
        <v>0</v>
      </c>
      <c r="J38" s="383">
        <v>7720</v>
      </c>
      <c r="K38" s="381">
        <v>-1000</v>
      </c>
      <c r="L38" s="381">
        <v>-1500</v>
      </c>
      <c r="M38" s="381">
        <v>-1000</v>
      </c>
      <c r="N38" s="381">
        <v>-1000</v>
      </c>
      <c r="O38" s="381">
        <v>-1000</v>
      </c>
      <c r="P38" s="381">
        <v>-1000</v>
      </c>
      <c r="Q38" s="381">
        <v>-1000</v>
      </c>
      <c r="R38" s="381"/>
      <c r="S38" s="381"/>
      <c r="T38" s="381"/>
      <c r="U38" s="381"/>
      <c r="V38" s="381"/>
      <c r="W38" s="381"/>
      <c r="X38" s="381"/>
      <c r="Y38" s="381"/>
    </row>
    <row r="39" spans="1:25" ht="21">
      <c r="A39" s="375" t="s">
        <v>312</v>
      </c>
      <c r="B39" s="375" t="s">
        <v>622</v>
      </c>
      <c r="C39" s="376">
        <v>47.3</v>
      </c>
      <c r="D39" s="376">
        <f t="shared" si="1"/>
        <v>4.7299999999999995E-2</v>
      </c>
      <c r="E39" s="377">
        <f t="shared" ref="E39:E91" si="5">SUM(J39:Q39)</f>
        <v>0</v>
      </c>
      <c r="F39" s="378">
        <f t="shared" si="2"/>
        <v>0</v>
      </c>
      <c r="G39" s="378">
        <v>3.21</v>
      </c>
      <c r="H39" s="378">
        <f t="shared" si="3"/>
        <v>0</v>
      </c>
      <c r="I39" s="379">
        <f t="shared" si="4"/>
        <v>0</v>
      </c>
      <c r="J39" s="380">
        <v>0</v>
      </c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</row>
    <row r="40" spans="1:25" ht="21">
      <c r="A40" s="375" t="s">
        <v>312</v>
      </c>
      <c r="B40" s="375" t="s">
        <v>623</v>
      </c>
      <c r="C40" s="376">
        <v>15</v>
      </c>
      <c r="D40" s="376">
        <f t="shared" si="1"/>
        <v>1.4999999999999999E-2</v>
      </c>
      <c r="E40" s="377">
        <f t="shared" si="5"/>
        <v>7914</v>
      </c>
      <c r="F40" s="378">
        <f t="shared" si="2"/>
        <v>118.71</v>
      </c>
      <c r="G40" s="378">
        <v>3.21</v>
      </c>
      <c r="H40" s="378">
        <f t="shared" si="3"/>
        <v>381.0591</v>
      </c>
      <c r="I40" s="379">
        <f t="shared" si="4"/>
        <v>0</v>
      </c>
      <c r="J40" s="380">
        <v>8914</v>
      </c>
      <c r="K40" s="381">
        <v>-1000</v>
      </c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</row>
    <row r="41" spans="1:25" ht="21">
      <c r="A41" s="375" t="s">
        <v>312</v>
      </c>
      <c r="B41" s="375" t="s">
        <v>624</v>
      </c>
      <c r="C41" s="376">
        <v>20.8</v>
      </c>
      <c r="D41" s="376">
        <f t="shared" si="1"/>
        <v>2.0799999999999999E-2</v>
      </c>
      <c r="E41" s="377">
        <f t="shared" si="5"/>
        <v>6251</v>
      </c>
      <c r="F41" s="378">
        <f t="shared" si="2"/>
        <v>130.02079999999998</v>
      </c>
      <c r="G41" s="378">
        <v>3.21</v>
      </c>
      <c r="H41" s="378">
        <f t="shared" si="3"/>
        <v>417.36676799999992</v>
      </c>
      <c r="I41" s="379">
        <f t="shared" si="4"/>
        <v>0</v>
      </c>
      <c r="J41" s="380">
        <v>7251</v>
      </c>
      <c r="K41" s="381">
        <v>-1000</v>
      </c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</row>
    <row r="42" spans="1:25" ht="21">
      <c r="A42" s="375" t="s">
        <v>312</v>
      </c>
      <c r="B42" s="375" t="s">
        <v>625</v>
      </c>
      <c r="C42" s="376">
        <v>70</v>
      </c>
      <c r="D42" s="376">
        <f t="shared" si="1"/>
        <v>7.0000000000000007E-2</v>
      </c>
      <c r="E42" s="377">
        <f t="shared" si="5"/>
        <v>0</v>
      </c>
      <c r="F42" s="378">
        <f t="shared" si="2"/>
        <v>0</v>
      </c>
      <c r="G42" s="378">
        <v>3.21</v>
      </c>
      <c r="H42" s="378">
        <f t="shared" si="3"/>
        <v>0</v>
      </c>
      <c r="I42" s="379">
        <f t="shared" si="4"/>
        <v>0</v>
      </c>
      <c r="J42" s="380">
        <v>750</v>
      </c>
      <c r="K42" s="381">
        <v>-200</v>
      </c>
      <c r="L42" s="381">
        <v>-550</v>
      </c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</row>
    <row r="43" spans="1:25" ht="21">
      <c r="A43" s="375" t="s">
        <v>312</v>
      </c>
      <c r="B43" s="375" t="s">
        <v>626</v>
      </c>
      <c r="C43" s="376">
        <v>81.72</v>
      </c>
      <c r="D43" s="376">
        <f t="shared" si="1"/>
        <v>8.1720000000000001E-2</v>
      </c>
      <c r="E43" s="377">
        <f t="shared" si="5"/>
        <v>1170</v>
      </c>
      <c r="F43" s="378">
        <f t="shared" si="2"/>
        <v>95.612400000000008</v>
      </c>
      <c r="G43" s="378">
        <v>3.21</v>
      </c>
      <c r="H43" s="378">
        <f t="shared" si="3"/>
        <v>306.91580400000004</v>
      </c>
      <c r="I43" s="379">
        <f t="shared" si="4"/>
        <v>0</v>
      </c>
      <c r="J43" s="380">
        <v>1170</v>
      </c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</row>
    <row r="44" spans="1:25" ht="21">
      <c r="A44" s="375" t="s">
        <v>312</v>
      </c>
      <c r="B44" s="375" t="s">
        <v>627</v>
      </c>
      <c r="C44" s="376">
        <v>52.6</v>
      </c>
      <c r="D44" s="376">
        <f t="shared" si="1"/>
        <v>5.2600000000000001E-2</v>
      </c>
      <c r="E44" s="377">
        <f t="shared" si="5"/>
        <v>2170</v>
      </c>
      <c r="F44" s="378">
        <f t="shared" si="2"/>
        <v>114.142</v>
      </c>
      <c r="G44" s="378">
        <v>3.21</v>
      </c>
      <c r="H44" s="378">
        <f t="shared" si="3"/>
        <v>366.39581999999996</v>
      </c>
      <c r="I44" s="379">
        <f t="shared" si="4"/>
        <v>0</v>
      </c>
      <c r="J44" s="380">
        <v>2170</v>
      </c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</row>
    <row r="45" spans="1:25" ht="21">
      <c r="A45" s="375" t="s">
        <v>312</v>
      </c>
      <c r="B45" s="375" t="s">
        <v>628</v>
      </c>
      <c r="C45" s="376">
        <v>206</v>
      </c>
      <c r="D45" s="376">
        <f t="shared" si="1"/>
        <v>0.20599999999999999</v>
      </c>
      <c r="E45" s="377">
        <f t="shared" si="5"/>
        <v>230</v>
      </c>
      <c r="F45" s="378">
        <f t="shared" si="2"/>
        <v>47.379999999999995</v>
      </c>
      <c r="G45" s="378">
        <v>3.21</v>
      </c>
      <c r="H45" s="378">
        <f t="shared" si="3"/>
        <v>152.0898</v>
      </c>
      <c r="I45" s="379">
        <f t="shared" si="4"/>
        <v>0</v>
      </c>
      <c r="J45" s="380">
        <v>230</v>
      </c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  <c r="Y45" s="381"/>
    </row>
    <row r="46" spans="1:25" ht="21">
      <c r="A46" s="375" t="s">
        <v>312</v>
      </c>
      <c r="B46" s="375" t="s">
        <v>629</v>
      </c>
      <c r="C46" s="376">
        <v>63.4</v>
      </c>
      <c r="D46" s="376">
        <f t="shared" si="1"/>
        <v>6.3399999999999998E-2</v>
      </c>
      <c r="E46" s="377">
        <f t="shared" si="5"/>
        <v>700</v>
      </c>
      <c r="F46" s="378">
        <f t="shared" si="2"/>
        <v>44.379999999999995</v>
      </c>
      <c r="G46" s="378">
        <v>3.21</v>
      </c>
      <c r="H46" s="378">
        <f t="shared" si="3"/>
        <v>142.45979999999997</v>
      </c>
      <c r="I46" s="379">
        <f t="shared" si="4"/>
        <v>0</v>
      </c>
      <c r="J46" s="380">
        <v>700</v>
      </c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</row>
    <row r="47" spans="1:25" ht="21">
      <c r="A47" s="375" t="s">
        <v>312</v>
      </c>
      <c r="B47" s="375" t="s">
        <v>630</v>
      </c>
      <c r="C47" s="376">
        <v>22.599999999999998</v>
      </c>
      <c r="D47" s="376">
        <f t="shared" si="1"/>
        <v>2.2599999999999999E-2</v>
      </c>
      <c r="E47" s="377">
        <f t="shared" si="5"/>
        <v>6710</v>
      </c>
      <c r="F47" s="378">
        <f t="shared" si="2"/>
        <v>151.64599999999999</v>
      </c>
      <c r="G47" s="378">
        <v>3.21</v>
      </c>
      <c r="H47" s="378">
        <f t="shared" si="3"/>
        <v>486.78365999999994</v>
      </c>
      <c r="I47" s="379">
        <f t="shared" si="4"/>
        <v>0</v>
      </c>
      <c r="J47" s="380">
        <v>6710</v>
      </c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  <c r="Y47" s="381"/>
    </row>
    <row r="48" spans="1:25" ht="21">
      <c r="A48" s="375" t="s">
        <v>312</v>
      </c>
      <c r="B48" s="375" t="s">
        <v>631</v>
      </c>
      <c r="C48" s="376">
        <v>69.099999999999994</v>
      </c>
      <c r="D48" s="376">
        <f t="shared" si="1"/>
        <v>6.9099999999999995E-2</v>
      </c>
      <c r="E48" s="377">
        <f t="shared" si="5"/>
        <v>4139</v>
      </c>
      <c r="F48" s="378">
        <f t="shared" si="2"/>
        <v>286.00489999999996</v>
      </c>
      <c r="G48" s="378">
        <v>3.21</v>
      </c>
      <c r="H48" s="378">
        <f t="shared" si="3"/>
        <v>918.07572899999991</v>
      </c>
      <c r="I48" s="379">
        <f t="shared" si="4"/>
        <v>0</v>
      </c>
      <c r="J48" s="380">
        <v>4139</v>
      </c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  <c r="Y48" s="381"/>
    </row>
    <row r="49" spans="1:25" ht="21">
      <c r="A49" s="375" t="s">
        <v>312</v>
      </c>
      <c r="B49" s="375" t="s">
        <v>632</v>
      </c>
      <c r="C49" s="376">
        <v>16.8</v>
      </c>
      <c r="D49" s="376">
        <f t="shared" si="1"/>
        <v>1.6800000000000002E-2</v>
      </c>
      <c r="E49" s="377">
        <f t="shared" si="5"/>
        <v>0</v>
      </c>
      <c r="F49" s="378">
        <f t="shared" si="2"/>
        <v>0</v>
      </c>
      <c r="G49" s="378">
        <v>3.21</v>
      </c>
      <c r="H49" s="378">
        <f t="shared" si="3"/>
        <v>0</v>
      </c>
      <c r="I49" s="379">
        <f t="shared" si="4"/>
        <v>0</v>
      </c>
      <c r="J49" s="380">
        <v>0</v>
      </c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</row>
    <row r="50" spans="1:25" ht="21">
      <c r="A50" s="375" t="s">
        <v>312</v>
      </c>
      <c r="B50" s="375" t="s">
        <v>633</v>
      </c>
      <c r="C50" s="376">
        <v>4.5</v>
      </c>
      <c r="D50" s="376">
        <f t="shared" si="1"/>
        <v>4.4999999999999997E-3</v>
      </c>
      <c r="E50" s="377">
        <f t="shared" si="5"/>
        <v>0</v>
      </c>
      <c r="F50" s="378">
        <f t="shared" si="2"/>
        <v>0</v>
      </c>
      <c r="G50" s="378">
        <v>3.21</v>
      </c>
      <c r="H50" s="378">
        <f t="shared" si="3"/>
        <v>0</v>
      </c>
      <c r="I50" s="379">
        <f t="shared" si="4"/>
        <v>0</v>
      </c>
      <c r="J50" s="380">
        <v>0</v>
      </c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  <c r="Y50" s="381"/>
    </row>
    <row r="51" spans="1:25" ht="21">
      <c r="A51" s="375" t="s">
        <v>312</v>
      </c>
      <c r="B51" s="375" t="s">
        <v>634</v>
      </c>
      <c r="C51" s="376">
        <v>20.7</v>
      </c>
      <c r="D51" s="376">
        <f t="shared" si="1"/>
        <v>2.07E-2</v>
      </c>
      <c r="E51" s="377">
        <f t="shared" si="5"/>
        <v>2989</v>
      </c>
      <c r="F51" s="378">
        <f t="shared" si="2"/>
        <v>61.872299999999996</v>
      </c>
      <c r="G51" s="378">
        <v>3.21</v>
      </c>
      <c r="H51" s="378">
        <f t="shared" si="3"/>
        <v>198.61008299999997</v>
      </c>
      <c r="I51" s="379">
        <f t="shared" si="4"/>
        <v>0</v>
      </c>
      <c r="J51" s="380">
        <v>2989</v>
      </c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  <c r="Y51" s="381"/>
    </row>
    <row r="52" spans="1:25" ht="21">
      <c r="A52" s="375" t="s">
        <v>312</v>
      </c>
      <c r="B52" s="375" t="s">
        <v>635</v>
      </c>
      <c r="C52" s="376">
        <v>14.9</v>
      </c>
      <c r="D52" s="376">
        <f t="shared" si="1"/>
        <v>1.49E-2</v>
      </c>
      <c r="E52" s="377">
        <f t="shared" si="5"/>
        <v>255</v>
      </c>
      <c r="F52" s="378">
        <f t="shared" si="2"/>
        <v>3.7995000000000001</v>
      </c>
      <c r="G52" s="378">
        <v>3.21</v>
      </c>
      <c r="H52" s="378">
        <f t="shared" si="3"/>
        <v>12.196395000000001</v>
      </c>
      <c r="I52" s="379">
        <f t="shared" si="4"/>
        <v>0</v>
      </c>
      <c r="J52" s="380">
        <v>255</v>
      </c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</row>
    <row r="53" spans="1:25" ht="21">
      <c r="A53" s="375" t="s">
        <v>312</v>
      </c>
      <c r="B53" s="375" t="s">
        <v>636</v>
      </c>
      <c r="C53" s="376">
        <v>100.7</v>
      </c>
      <c r="D53" s="376">
        <f t="shared" si="1"/>
        <v>0.1007</v>
      </c>
      <c r="E53" s="377">
        <f t="shared" si="5"/>
        <v>0</v>
      </c>
      <c r="F53" s="378">
        <f t="shared" si="2"/>
        <v>0</v>
      </c>
      <c r="G53" s="378">
        <v>3.21</v>
      </c>
      <c r="H53" s="378">
        <f t="shared" si="3"/>
        <v>0</v>
      </c>
      <c r="I53" s="379">
        <f t="shared" si="4"/>
        <v>0</v>
      </c>
      <c r="J53" s="380">
        <v>0</v>
      </c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  <c r="Y53" s="381"/>
    </row>
    <row r="54" spans="1:25" ht="21">
      <c r="A54" s="375" t="s">
        <v>312</v>
      </c>
      <c r="B54" s="375" t="s">
        <v>637</v>
      </c>
      <c r="C54" s="376"/>
      <c r="D54" s="376"/>
      <c r="E54" s="377">
        <f t="shared" si="5"/>
        <v>2700</v>
      </c>
      <c r="F54" s="378">
        <f t="shared" si="2"/>
        <v>0</v>
      </c>
      <c r="G54" s="378">
        <v>3.21</v>
      </c>
      <c r="H54" s="378">
        <f t="shared" si="3"/>
        <v>0</v>
      </c>
      <c r="I54" s="379">
        <f t="shared" si="4"/>
        <v>0</v>
      </c>
      <c r="J54" s="380">
        <v>4700</v>
      </c>
      <c r="K54" s="381">
        <v>-2000</v>
      </c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  <c r="Y54" s="381"/>
    </row>
    <row r="55" spans="1:25" ht="21">
      <c r="A55" s="375" t="s">
        <v>312</v>
      </c>
      <c r="B55" s="375" t="s">
        <v>638</v>
      </c>
      <c r="C55" s="376"/>
      <c r="D55" s="376"/>
      <c r="E55" s="377">
        <f t="shared" si="5"/>
        <v>2600</v>
      </c>
      <c r="F55" s="378">
        <f t="shared" si="2"/>
        <v>0</v>
      </c>
      <c r="G55" s="378">
        <v>3.21</v>
      </c>
      <c r="H55" s="378">
        <f t="shared" si="3"/>
        <v>0</v>
      </c>
      <c r="I55" s="379">
        <f t="shared" si="4"/>
        <v>0</v>
      </c>
      <c r="J55" s="380">
        <v>2600</v>
      </c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  <c r="Y55" s="381"/>
    </row>
    <row r="56" spans="1:25" ht="21">
      <c r="A56" s="375" t="s">
        <v>312</v>
      </c>
      <c r="B56" s="375" t="s">
        <v>639</v>
      </c>
      <c r="C56" s="376"/>
      <c r="D56" s="376"/>
      <c r="E56" s="377">
        <f t="shared" si="5"/>
        <v>800</v>
      </c>
      <c r="F56" s="378">
        <f t="shared" si="2"/>
        <v>0</v>
      </c>
      <c r="G56" s="378">
        <v>3.21</v>
      </c>
      <c r="H56" s="378">
        <f t="shared" si="3"/>
        <v>0</v>
      </c>
      <c r="I56" s="379">
        <f t="shared" si="4"/>
        <v>0</v>
      </c>
      <c r="J56" s="380">
        <v>800</v>
      </c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  <c r="Y56" s="381"/>
    </row>
    <row r="57" spans="1:25" ht="21">
      <c r="A57" s="375" t="s">
        <v>312</v>
      </c>
      <c r="B57" s="375" t="s">
        <v>640</v>
      </c>
      <c r="C57" s="376"/>
      <c r="D57" s="376"/>
      <c r="E57" s="377">
        <f t="shared" si="5"/>
        <v>470</v>
      </c>
      <c r="F57" s="378">
        <f t="shared" si="2"/>
        <v>0</v>
      </c>
      <c r="G57" s="378">
        <v>3.21</v>
      </c>
      <c r="H57" s="378">
        <f t="shared" si="3"/>
        <v>0</v>
      </c>
      <c r="I57" s="379">
        <f t="shared" si="4"/>
        <v>0</v>
      </c>
      <c r="J57" s="380">
        <v>470</v>
      </c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  <c r="Y57" s="381"/>
    </row>
    <row r="58" spans="1:25" ht="21">
      <c r="A58" s="375" t="s">
        <v>312</v>
      </c>
      <c r="B58" s="375" t="s">
        <v>641</v>
      </c>
      <c r="C58" s="376"/>
      <c r="D58" s="376"/>
      <c r="E58" s="377">
        <f t="shared" si="5"/>
        <v>1530</v>
      </c>
      <c r="F58" s="378">
        <f t="shared" si="2"/>
        <v>0</v>
      </c>
      <c r="G58" s="378">
        <v>3.21</v>
      </c>
      <c r="H58" s="378">
        <f t="shared" si="3"/>
        <v>0</v>
      </c>
      <c r="I58" s="379">
        <f t="shared" si="4"/>
        <v>0</v>
      </c>
      <c r="J58" s="380">
        <v>1530</v>
      </c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  <c r="Y58" s="381"/>
    </row>
    <row r="59" spans="1:25" ht="21">
      <c r="A59" s="375" t="s">
        <v>312</v>
      </c>
      <c r="B59" s="375" t="s">
        <v>642</v>
      </c>
      <c r="C59" s="376"/>
      <c r="D59" s="376"/>
      <c r="E59" s="377">
        <f t="shared" si="5"/>
        <v>2500</v>
      </c>
      <c r="F59" s="378">
        <f t="shared" si="2"/>
        <v>0</v>
      </c>
      <c r="G59" s="378">
        <v>3.21</v>
      </c>
      <c r="H59" s="378">
        <f t="shared" si="3"/>
        <v>0</v>
      </c>
      <c r="I59" s="379">
        <f t="shared" si="4"/>
        <v>0</v>
      </c>
      <c r="J59" s="380">
        <v>2500</v>
      </c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  <c r="Y59" s="381"/>
    </row>
    <row r="60" spans="1:25" ht="21">
      <c r="A60" s="375" t="s">
        <v>312</v>
      </c>
      <c r="B60" s="375" t="s">
        <v>643</v>
      </c>
      <c r="C60" s="376"/>
      <c r="D60" s="376"/>
      <c r="E60" s="377">
        <f t="shared" si="5"/>
        <v>1046</v>
      </c>
      <c r="F60" s="378">
        <f t="shared" si="2"/>
        <v>0</v>
      </c>
      <c r="G60" s="378">
        <v>3.21</v>
      </c>
      <c r="H60" s="378">
        <f t="shared" si="3"/>
        <v>0</v>
      </c>
      <c r="I60" s="379">
        <f t="shared" si="4"/>
        <v>0</v>
      </c>
      <c r="J60" s="380">
        <v>1046</v>
      </c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  <c r="Y60" s="381"/>
    </row>
    <row r="61" spans="1:25" ht="21">
      <c r="A61" s="375" t="s">
        <v>312</v>
      </c>
      <c r="B61" s="375" t="s">
        <v>644</v>
      </c>
      <c r="C61" s="376"/>
      <c r="D61" s="376"/>
      <c r="E61" s="377">
        <f t="shared" si="5"/>
        <v>0</v>
      </c>
      <c r="F61" s="378">
        <f t="shared" si="2"/>
        <v>0</v>
      </c>
      <c r="G61" s="378">
        <v>3.21</v>
      </c>
      <c r="H61" s="378">
        <f t="shared" si="3"/>
        <v>0</v>
      </c>
      <c r="I61" s="379">
        <f t="shared" si="4"/>
        <v>0</v>
      </c>
      <c r="J61" s="380">
        <v>992</v>
      </c>
      <c r="K61" s="381">
        <v>-150</v>
      </c>
      <c r="L61" s="381">
        <v>-842</v>
      </c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  <c r="Y61" s="381"/>
    </row>
    <row r="62" spans="1:25" ht="21">
      <c r="A62" s="375" t="s">
        <v>312</v>
      </c>
      <c r="B62" s="375" t="s">
        <v>645</v>
      </c>
      <c r="C62" s="376"/>
      <c r="D62" s="376"/>
      <c r="E62" s="377">
        <f t="shared" si="5"/>
        <v>0</v>
      </c>
      <c r="F62" s="378">
        <f t="shared" si="2"/>
        <v>0</v>
      </c>
      <c r="G62" s="378">
        <v>3.21</v>
      </c>
      <c r="H62" s="378">
        <f t="shared" si="3"/>
        <v>0</v>
      </c>
      <c r="I62" s="379">
        <f t="shared" si="4"/>
        <v>0</v>
      </c>
      <c r="J62" s="380">
        <v>248</v>
      </c>
      <c r="K62" s="381">
        <v>-248</v>
      </c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  <c r="Y62" s="381"/>
    </row>
    <row r="63" spans="1:25" ht="21">
      <c r="A63" s="375" t="s">
        <v>312</v>
      </c>
      <c r="B63" s="375" t="s">
        <v>646</v>
      </c>
      <c r="C63" s="376"/>
      <c r="D63" s="376"/>
      <c r="E63" s="377">
        <f t="shared" si="5"/>
        <v>47</v>
      </c>
      <c r="F63" s="378">
        <f t="shared" si="2"/>
        <v>0</v>
      </c>
      <c r="G63" s="378">
        <v>3.21</v>
      </c>
      <c r="H63" s="378">
        <f t="shared" si="3"/>
        <v>0</v>
      </c>
      <c r="I63" s="379">
        <f t="shared" si="4"/>
        <v>0</v>
      </c>
      <c r="J63" s="380">
        <v>47</v>
      </c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  <c r="Y63" s="381"/>
    </row>
    <row r="64" spans="1:25" ht="21">
      <c r="A64" s="375" t="s">
        <v>312</v>
      </c>
      <c r="B64" s="375" t="s">
        <v>647</v>
      </c>
      <c r="C64" s="376"/>
      <c r="D64" s="376"/>
      <c r="E64" s="377">
        <f t="shared" si="5"/>
        <v>617</v>
      </c>
      <c r="F64" s="378">
        <f t="shared" si="2"/>
        <v>0</v>
      </c>
      <c r="G64" s="378">
        <v>3.21</v>
      </c>
      <c r="H64" s="378">
        <f t="shared" si="3"/>
        <v>0</v>
      </c>
      <c r="I64" s="379">
        <f t="shared" si="4"/>
        <v>0</v>
      </c>
      <c r="J64" s="380">
        <v>617</v>
      </c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  <c r="Y64" s="381"/>
    </row>
    <row r="65" spans="1:25" ht="21">
      <c r="A65" s="375" t="s">
        <v>312</v>
      </c>
      <c r="B65" s="375" t="s">
        <v>623</v>
      </c>
      <c r="C65" s="376"/>
      <c r="D65" s="376"/>
      <c r="E65" s="377">
        <f t="shared" si="5"/>
        <v>41</v>
      </c>
      <c r="F65" s="378">
        <f t="shared" si="2"/>
        <v>0</v>
      </c>
      <c r="G65" s="378">
        <v>3.21</v>
      </c>
      <c r="H65" s="378">
        <f t="shared" si="3"/>
        <v>0</v>
      </c>
      <c r="I65" s="379">
        <f t="shared" si="4"/>
        <v>0</v>
      </c>
      <c r="J65" s="380">
        <v>41</v>
      </c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  <c r="Y65" s="381"/>
    </row>
    <row r="66" spans="1:25" ht="21">
      <c r="A66" s="375" t="s">
        <v>312</v>
      </c>
      <c r="B66" s="375" t="s">
        <v>648</v>
      </c>
      <c r="C66" s="376"/>
      <c r="D66" s="376"/>
      <c r="E66" s="377">
        <f t="shared" si="5"/>
        <v>920</v>
      </c>
      <c r="F66" s="378">
        <f t="shared" si="2"/>
        <v>0</v>
      </c>
      <c r="G66" s="378">
        <v>3.21</v>
      </c>
      <c r="H66" s="378">
        <f t="shared" si="3"/>
        <v>0</v>
      </c>
      <c r="I66" s="379">
        <f t="shared" si="4"/>
        <v>0</v>
      </c>
      <c r="J66" s="380">
        <v>920</v>
      </c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  <c r="Y66" s="381"/>
    </row>
    <row r="67" spans="1:25" ht="21">
      <c r="A67" s="375" t="s">
        <v>312</v>
      </c>
      <c r="B67" s="375" t="s">
        <v>649</v>
      </c>
      <c r="C67" s="376"/>
      <c r="D67" s="376"/>
      <c r="E67" s="377">
        <f t="shared" si="5"/>
        <v>13</v>
      </c>
      <c r="F67" s="378">
        <f t="shared" si="2"/>
        <v>0</v>
      </c>
      <c r="G67" s="378">
        <v>3.21</v>
      </c>
      <c r="H67" s="378">
        <f t="shared" si="3"/>
        <v>0</v>
      </c>
      <c r="I67" s="379">
        <f t="shared" si="4"/>
        <v>0</v>
      </c>
      <c r="J67" s="380">
        <v>213</v>
      </c>
      <c r="K67" s="381">
        <v>-200</v>
      </c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  <c r="Y67" s="381"/>
    </row>
    <row r="68" spans="1:25" ht="21">
      <c r="A68" s="375" t="s">
        <v>650</v>
      </c>
      <c r="B68" s="375" t="s">
        <v>651</v>
      </c>
      <c r="C68" s="376">
        <v>19</v>
      </c>
      <c r="D68" s="376">
        <f t="shared" si="1"/>
        <v>1.9E-2</v>
      </c>
      <c r="E68" s="377">
        <f t="shared" si="5"/>
        <v>3948</v>
      </c>
      <c r="F68" s="378">
        <f t="shared" si="2"/>
        <v>75.012</v>
      </c>
      <c r="G68" s="378">
        <v>3.21</v>
      </c>
      <c r="H68" s="378">
        <f t="shared" si="3"/>
        <v>240.78852000000001</v>
      </c>
      <c r="I68" s="379">
        <f t="shared" si="4"/>
        <v>0</v>
      </c>
      <c r="J68" s="380">
        <v>3948</v>
      </c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  <c r="Y68" s="381"/>
    </row>
    <row r="69" spans="1:25" ht="21">
      <c r="A69" s="375" t="s">
        <v>650</v>
      </c>
      <c r="B69" s="375" t="s">
        <v>652</v>
      </c>
      <c r="C69" s="376">
        <v>18.7</v>
      </c>
      <c r="D69" s="376">
        <f t="shared" si="1"/>
        <v>1.8699999999999998E-2</v>
      </c>
      <c r="E69" s="377">
        <f t="shared" si="5"/>
        <v>26678</v>
      </c>
      <c r="F69" s="378">
        <f t="shared" si="2"/>
        <v>498.87859999999995</v>
      </c>
      <c r="G69" s="378">
        <v>3.21</v>
      </c>
      <c r="H69" s="378">
        <f t="shared" si="3"/>
        <v>1601.4003059999998</v>
      </c>
      <c r="I69" s="379">
        <f t="shared" si="4"/>
        <v>0</v>
      </c>
      <c r="J69" s="380">
        <v>26678</v>
      </c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  <c r="Y69" s="381"/>
    </row>
    <row r="70" spans="1:25" ht="21">
      <c r="A70" s="375" t="s">
        <v>650</v>
      </c>
      <c r="B70" s="375" t="s">
        <v>653</v>
      </c>
      <c r="C70" s="376">
        <v>17.399999999999999</v>
      </c>
      <c r="D70" s="376">
        <f t="shared" si="1"/>
        <v>1.7399999999999999E-2</v>
      </c>
      <c r="E70" s="377">
        <f t="shared" si="5"/>
        <v>6500</v>
      </c>
      <c r="F70" s="378">
        <f t="shared" si="2"/>
        <v>113.1</v>
      </c>
      <c r="G70" s="378">
        <v>3.21</v>
      </c>
      <c r="H70" s="378">
        <f t="shared" si="3"/>
        <v>363.05099999999999</v>
      </c>
      <c r="I70" s="379">
        <f t="shared" si="4"/>
        <v>0</v>
      </c>
      <c r="J70" s="380">
        <v>6500</v>
      </c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  <c r="Y70" s="381"/>
    </row>
    <row r="71" spans="1:25" ht="21">
      <c r="A71" s="375" t="s">
        <v>650</v>
      </c>
      <c r="B71" s="375" t="s">
        <v>654</v>
      </c>
      <c r="C71" s="376">
        <v>18.5</v>
      </c>
      <c r="D71" s="376">
        <f t="shared" si="1"/>
        <v>1.8499999999999999E-2</v>
      </c>
      <c r="E71" s="377">
        <f t="shared" si="5"/>
        <v>3267</v>
      </c>
      <c r="F71" s="378">
        <f t="shared" si="2"/>
        <v>60.439499999999995</v>
      </c>
      <c r="G71" s="378">
        <v>3.21</v>
      </c>
      <c r="H71" s="378">
        <f t="shared" si="3"/>
        <v>194.01079499999997</v>
      </c>
      <c r="I71" s="379">
        <f t="shared" si="4"/>
        <v>0</v>
      </c>
      <c r="J71" s="380">
        <v>3267</v>
      </c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  <c r="Y71" s="381"/>
    </row>
    <row r="72" spans="1:25" ht="21">
      <c r="A72" s="375" t="s">
        <v>650</v>
      </c>
      <c r="B72" s="375" t="s">
        <v>26</v>
      </c>
      <c r="C72" s="376">
        <v>35</v>
      </c>
      <c r="D72" s="376">
        <f t="shared" si="1"/>
        <v>3.5000000000000003E-2</v>
      </c>
      <c r="E72" s="377">
        <f t="shared" si="5"/>
        <v>0</v>
      </c>
      <c r="F72" s="378">
        <f t="shared" si="2"/>
        <v>0</v>
      </c>
      <c r="G72" s="378">
        <v>3.21</v>
      </c>
      <c r="H72" s="378">
        <f t="shared" si="3"/>
        <v>0</v>
      </c>
      <c r="I72" s="379">
        <f t="shared" si="4"/>
        <v>0</v>
      </c>
      <c r="J72" s="380">
        <v>0</v>
      </c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  <c r="Y72" s="381"/>
    </row>
    <row r="73" spans="1:25" ht="21">
      <c r="A73" s="375" t="s">
        <v>650</v>
      </c>
      <c r="B73" s="375" t="s">
        <v>27</v>
      </c>
      <c r="C73" s="376">
        <v>15.03</v>
      </c>
      <c r="D73" s="376">
        <f t="shared" si="1"/>
        <v>1.503E-2</v>
      </c>
      <c r="E73" s="377">
        <f t="shared" si="5"/>
        <v>0</v>
      </c>
      <c r="F73" s="378">
        <f t="shared" si="2"/>
        <v>0</v>
      </c>
      <c r="G73" s="378">
        <v>3.21</v>
      </c>
      <c r="H73" s="378">
        <f t="shared" si="3"/>
        <v>0</v>
      </c>
      <c r="I73" s="379">
        <f t="shared" si="4"/>
        <v>0</v>
      </c>
      <c r="J73" s="380">
        <v>0</v>
      </c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  <c r="Y73" s="381"/>
    </row>
    <row r="74" spans="1:25" ht="21">
      <c r="A74" s="375" t="s">
        <v>650</v>
      </c>
      <c r="B74" s="375" t="s">
        <v>28</v>
      </c>
      <c r="C74" s="376">
        <v>67</v>
      </c>
      <c r="D74" s="376">
        <f t="shared" si="1"/>
        <v>6.7000000000000004E-2</v>
      </c>
      <c r="E74" s="377">
        <f t="shared" si="5"/>
        <v>2550</v>
      </c>
      <c r="F74" s="378">
        <f t="shared" si="2"/>
        <v>170.85000000000002</v>
      </c>
      <c r="G74" s="378">
        <v>3.21</v>
      </c>
      <c r="H74" s="378">
        <f t="shared" si="3"/>
        <v>548.4285000000001</v>
      </c>
      <c r="I74" s="379">
        <f t="shared" si="4"/>
        <v>0</v>
      </c>
      <c r="J74" s="380">
        <v>2550</v>
      </c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  <c r="Y74" s="381"/>
    </row>
    <row r="75" spans="1:25" ht="21">
      <c r="A75" s="375" t="s">
        <v>650</v>
      </c>
      <c r="B75" s="375" t="s">
        <v>29</v>
      </c>
      <c r="C75" s="376">
        <v>29.25</v>
      </c>
      <c r="D75" s="376">
        <f t="shared" si="1"/>
        <v>2.9250000000000002E-2</v>
      </c>
      <c r="E75" s="377">
        <f t="shared" si="5"/>
        <v>4800</v>
      </c>
      <c r="F75" s="378">
        <f t="shared" ref="F75:F91" si="6">E75*D75</f>
        <v>140.4</v>
      </c>
      <c r="G75" s="378">
        <v>3.21</v>
      </c>
      <c r="H75" s="378">
        <f t="shared" ref="H75:H84" si="7">G75*F75</f>
        <v>450.68400000000003</v>
      </c>
      <c r="I75" s="379">
        <f t="shared" ref="I75:I84" si="8">H75*$K$1</f>
        <v>0</v>
      </c>
      <c r="J75" s="380">
        <v>4800</v>
      </c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  <c r="Y75" s="381"/>
    </row>
    <row r="76" spans="1:25" ht="21">
      <c r="A76" s="375" t="s">
        <v>650</v>
      </c>
      <c r="B76" s="375" t="s">
        <v>655</v>
      </c>
      <c r="C76" s="376">
        <v>116.27</v>
      </c>
      <c r="D76" s="376">
        <f t="shared" si="1"/>
        <v>0.11627</v>
      </c>
      <c r="E76" s="377">
        <f t="shared" si="5"/>
        <v>500</v>
      </c>
      <c r="F76" s="378">
        <f t="shared" si="6"/>
        <v>58.134999999999998</v>
      </c>
      <c r="G76" s="378">
        <v>3.21</v>
      </c>
      <c r="H76" s="378">
        <f t="shared" si="7"/>
        <v>186.61335</v>
      </c>
      <c r="I76" s="379">
        <f t="shared" si="8"/>
        <v>0</v>
      </c>
      <c r="J76" s="380">
        <v>500</v>
      </c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  <c r="Y76" s="381"/>
    </row>
    <row r="77" spans="1:25" ht="21">
      <c r="A77" s="375" t="s">
        <v>650</v>
      </c>
      <c r="B77" s="375" t="s">
        <v>30</v>
      </c>
      <c r="C77" s="376">
        <v>54.7</v>
      </c>
      <c r="D77" s="376">
        <f t="shared" si="1"/>
        <v>5.4700000000000006E-2</v>
      </c>
      <c r="E77" s="377">
        <f t="shared" si="5"/>
        <v>1700</v>
      </c>
      <c r="F77" s="378">
        <f t="shared" si="6"/>
        <v>92.990000000000009</v>
      </c>
      <c r="G77" s="378">
        <v>3.21</v>
      </c>
      <c r="H77" s="378">
        <f t="shared" si="7"/>
        <v>298.49790000000002</v>
      </c>
      <c r="I77" s="379">
        <f t="shared" si="8"/>
        <v>0</v>
      </c>
      <c r="J77" s="380">
        <v>1700</v>
      </c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  <c r="Y77" s="381"/>
    </row>
    <row r="78" spans="1:25" ht="21">
      <c r="A78" s="375" t="s">
        <v>650</v>
      </c>
      <c r="B78" s="375" t="s">
        <v>31</v>
      </c>
      <c r="C78" s="376">
        <v>66</v>
      </c>
      <c r="D78" s="376">
        <f t="shared" si="1"/>
        <v>6.6000000000000003E-2</v>
      </c>
      <c r="E78" s="377">
        <f t="shared" si="5"/>
        <v>1349</v>
      </c>
      <c r="F78" s="378">
        <f t="shared" si="6"/>
        <v>89.034000000000006</v>
      </c>
      <c r="G78" s="378">
        <v>3.21</v>
      </c>
      <c r="H78" s="378">
        <f t="shared" si="7"/>
        <v>285.79914000000002</v>
      </c>
      <c r="I78" s="379">
        <f t="shared" si="8"/>
        <v>0</v>
      </c>
      <c r="J78" s="380">
        <v>1349</v>
      </c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  <c r="Y78" s="381"/>
    </row>
    <row r="79" spans="1:25" ht="21">
      <c r="A79" s="375" t="s">
        <v>650</v>
      </c>
      <c r="B79" s="375" t="s">
        <v>31</v>
      </c>
      <c r="C79" s="376">
        <v>54.1</v>
      </c>
      <c r="D79" s="376">
        <f t="shared" si="1"/>
        <v>5.4100000000000002E-2</v>
      </c>
      <c r="E79" s="377">
        <f t="shared" si="5"/>
        <v>0</v>
      </c>
      <c r="F79" s="378">
        <f t="shared" si="6"/>
        <v>0</v>
      </c>
      <c r="G79" s="378">
        <v>3.21</v>
      </c>
      <c r="H79" s="378">
        <f t="shared" si="7"/>
        <v>0</v>
      </c>
      <c r="I79" s="379">
        <f t="shared" si="8"/>
        <v>0</v>
      </c>
      <c r="J79" s="380">
        <v>0</v>
      </c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  <c r="Y79" s="381"/>
    </row>
    <row r="80" spans="1:25" ht="21">
      <c r="A80" s="375" t="s">
        <v>650</v>
      </c>
      <c r="B80" s="375" t="s">
        <v>32</v>
      </c>
      <c r="C80" s="376">
        <v>54.1</v>
      </c>
      <c r="D80" s="376">
        <f t="shared" si="1"/>
        <v>5.4100000000000002E-2</v>
      </c>
      <c r="E80" s="377">
        <f t="shared" si="5"/>
        <v>1600</v>
      </c>
      <c r="F80" s="378">
        <f t="shared" si="6"/>
        <v>86.56</v>
      </c>
      <c r="G80" s="378">
        <v>3.21</v>
      </c>
      <c r="H80" s="378">
        <f t="shared" si="7"/>
        <v>277.85759999999999</v>
      </c>
      <c r="I80" s="379">
        <f t="shared" si="8"/>
        <v>0</v>
      </c>
      <c r="J80" s="380">
        <v>1600</v>
      </c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  <c r="Y80" s="381"/>
    </row>
    <row r="81" spans="1:25" ht="21">
      <c r="A81" s="375" t="s">
        <v>650</v>
      </c>
      <c r="B81" s="375" t="s">
        <v>33</v>
      </c>
      <c r="C81" s="376">
        <v>54.7</v>
      </c>
      <c r="D81" s="376">
        <f t="shared" ref="D81:D84" si="9">C81/1000</f>
        <v>5.4700000000000006E-2</v>
      </c>
      <c r="E81" s="377">
        <f t="shared" si="5"/>
        <v>400</v>
      </c>
      <c r="F81" s="378">
        <f t="shared" si="6"/>
        <v>21.880000000000003</v>
      </c>
      <c r="G81" s="378">
        <v>3.21</v>
      </c>
      <c r="H81" s="378">
        <f t="shared" si="7"/>
        <v>70.234800000000007</v>
      </c>
      <c r="I81" s="379">
        <f t="shared" si="8"/>
        <v>0</v>
      </c>
      <c r="J81" s="380">
        <v>400</v>
      </c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  <c r="Y81" s="381"/>
    </row>
    <row r="82" spans="1:25" ht="21">
      <c r="A82" s="375" t="s">
        <v>650</v>
      </c>
      <c r="B82" s="375" t="s">
        <v>656</v>
      </c>
      <c r="C82" s="376"/>
      <c r="D82" s="376">
        <f t="shared" si="9"/>
        <v>0</v>
      </c>
      <c r="E82" s="377">
        <f t="shared" si="5"/>
        <v>1200</v>
      </c>
      <c r="F82" s="378">
        <f t="shared" si="6"/>
        <v>0</v>
      </c>
      <c r="G82" s="378">
        <v>3.21</v>
      </c>
      <c r="H82" s="378">
        <f t="shared" si="7"/>
        <v>0</v>
      </c>
      <c r="I82" s="379">
        <f t="shared" si="8"/>
        <v>0</v>
      </c>
      <c r="J82" s="380">
        <v>1200</v>
      </c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  <c r="Y82" s="381"/>
    </row>
    <row r="83" spans="1:25" ht="21">
      <c r="A83" s="375" t="s">
        <v>657</v>
      </c>
      <c r="B83" s="375" t="s">
        <v>658</v>
      </c>
      <c r="C83" s="376"/>
      <c r="D83" s="376">
        <f t="shared" si="9"/>
        <v>0</v>
      </c>
      <c r="E83" s="377">
        <f t="shared" si="5"/>
        <v>5324</v>
      </c>
      <c r="F83" s="378">
        <f t="shared" si="6"/>
        <v>0</v>
      </c>
      <c r="G83" s="378">
        <v>3.21</v>
      </c>
      <c r="H83" s="378">
        <f t="shared" si="7"/>
        <v>0</v>
      </c>
      <c r="I83" s="379">
        <f t="shared" si="8"/>
        <v>0</v>
      </c>
      <c r="J83" s="380">
        <v>5324</v>
      </c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  <c r="Y83" s="381"/>
    </row>
    <row r="84" spans="1:25" ht="21">
      <c r="A84" s="375" t="s">
        <v>657</v>
      </c>
      <c r="B84" s="375" t="s">
        <v>659</v>
      </c>
      <c r="C84" s="376"/>
      <c r="D84" s="376">
        <f t="shared" si="9"/>
        <v>0</v>
      </c>
      <c r="E84" s="377">
        <f t="shared" si="5"/>
        <v>4000</v>
      </c>
      <c r="F84" s="378">
        <f t="shared" si="6"/>
        <v>0</v>
      </c>
      <c r="G84" s="378">
        <v>3.21</v>
      </c>
      <c r="H84" s="378">
        <f t="shared" si="7"/>
        <v>0</v>
      </c>
      <c r="I84" s="379">
        <f t="shared" si="8"/>
        <v>0</v>
      </c>
      <c r="J84" s="380">
        <v>4000</v>
      </c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  <c r="Y84" s="381"/>
    </row>
    <row r="85" spans="1:25" ht="21">
      <c r="A85" s="375" t="s">
        <v>660</v>
      </c>
      <c r="B85" s="375" t="s">
        <v>661</v>
      </c>
      <c r="C85" s="376"/>
      <c r="D85" s="376"/>
      <c r="E85" s="377">
        <f t="shared" si="5"/>
        <v>2950</v>
      </c>
      <c r="F85" s="378"/>
      <c r="G85" s="378"/>
      <c r="H85" s="378"/>
      <c r="I85" s="379"/>
      <c r="J85" s="380">
        <v>2950</v>
      </c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  <c r="Y85" s="381"/>
    </row>
    <row r="86" spans="1:25" ht="21">
      <c r="A86" s="375" t="s">
        <v>660</v>
      </c>
      <c r="B86" s="375" t="s">
        <v>662</v>
      </c>
      <c r="C86" s="376"/>
      <c r="D86" s="376"/>
      <c r="E86" s="377">
        <f t="shared" si="5"/>
        <v>3720</v>
      </c>
      <c r="F86" s="378"/>
      <c r="G86" s="378"/>
      <c r="H86" s="378"/>
      <c r="I86" s="379"/>
      <c r="J86" s="380">
        <v>3720</v>
      </c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  <c r="Y86" s="381"/>
    </row>
    <row r="87" spans="1:25" ht="21">
      <c r="A87" s="375" t="s">
        <v>660</v>
      </c>
      <c r="B87" s="375" t="s">
        <v>663</v>
      </c>
      <c r="C87" s="376"/>
      <c r="D87" s="376"/>
      <c r="E87" s="377">
        <f t="shared" si="5"/>
        <v>2990</v>
      </c>
      <c r="F87" s="378"/>
      <c r="G87" s="378"/>
      <c r="H87" s="378"/>
      <c r="I87" s="379"/>
      <c r="J87" s="380">
        <v>2990</v>
      </c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  <c r="Y87" s="381"/>
    </row>
    <row r="88" spans="1:25" ht="21">
      <c r="A88" s="375" t="s">
        <v>664</v>
      </c>
      <c r="B88" s="375" t="s">
        <v>665</v>
      </c>
      <c r="C88" s="376"/>
      <c r="D88" s="376"/>
      <c r="E88" s="377">
        <f t="shared" si="5"/>
        <v>2000</v>
      </c>
      <c r="F88" s="378"/>
      <c r="G88" s="378"/>
      <c r="H88" s="378"/>
      <c r="I88" s="379"/>
      <c r="J88" s="380">
        <v>2000</v>
      </c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  <c r="Y88" s="381"/>
    </row>
    <row r="89" spans="1:25" ht="21">
      <c r="A89" s="375"/>
      <c r="B89" s="375" t="s">
        <v>666</v>
      </c>
      <c r="C89" s="376"/>
      <c r="D89" s="376"/>
      <c r="E89" s="377">
        <f t="shared" si="5"/>
        <v>817</v>
      </c>
      <c r="F89" s="378"/>
      <c r="G89" s="378"/>
      <c r="H89" s="378"/>
      <c r="I89" s="379"/>
      <c r="J89" s="380">
        <v>817</v>
      </c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  <c r="Y89" s="381"/>
    </row>
    <row r="90" spans="1:25" ht="21">
      <c r="A90" s="375"/>
      <c r="B90" s="375" t="s">
        <v>666</v>
      </c>
      <c r="C90" s="376"/>
      <c r="D90" s="376"/>
      <c r="E90" s="377">
        <f t="shared" si="5"/>
        <v>1880</v>
      </c>
      <c r="F90" s="378"/>
      <c r="G90" s="378"/>
      <c r="H90" s="378"/>
      <c r="I90" s="379"/>
      <c r="J90" s="380">
        <v>2080</v>
      </c>
      <c r="K90" s="381">
        <v>-200</v>
      </c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  <c r="Y90" s="381"/>
    </row>
    <row r="91" spans="1:25" ht="21">
      <c r="A91" s="376" t="s">
        <v>667</v>
      </c>
      <c r="B91" s="375"/>
      <c r="C91" s="376"/>
      <c r="D91" s="376"/>
      <c r="E91" s="377">
        <f t="shared" si="5"/>
        <v>18000</v>
      </c>
      <c r="F91" s="378">
        <f t="shared" si="6"/>
        <v>0</v>
      </c>
      <c r="G91" s="378"/>
      <c r="H91" s="384"/>
      <c r="I91" s="385"/>
      <c r="J91" s="380">
        <v>15000</v>
      </c>
      <c r="K91" s="386">
        <v>-9000</v>
      </c>
      <c r="L91" s="387">
        <v>12000</v>
      </c>
    </row>
  </sheetData>
  <autoFilter ref="A1:O91" xr:uid="{3304AD16-2E92-8D47-A4F0-6817915CB72A}"/>
  <pageMargins left="0.7" right="0.7" top="0.75" bottom="0.75" header="0.3" footer="0.3"/>
  <pageSetup paperSize="9" orientation="landscape" r:id="rId1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16</vt:i4>
      </vt:variant>
      <vt:variant>
        <vt:lpstr>Névvel ellátott tartományok</vt:lpstr>
      </vt:variant>
      <vt:variant>
        <vt:i4>4</vt:i4>
      </vt:variant>
    </vt:vector>
  </HeadingPairs>
  <TitlesOfParts>
    <vt:vector size="20" baseType="lpstr">
      <vt:lpstr>Új feladat</vt:lpstr>
      <vt:lpstr>Rendelés</vt:lpstr>
      <vt:lpstr>Gyártás-Csomagolás</vt:lpstr>
      <vt:lpstr>Terméklista</vt:lpstr>
      <vt:lpstr>Céglista</vt:lpstr>
      <vt:lpstr>Szállítólevél</vt:lpstr>
      <vt:lpstr>Rendelésszám</vt:lpstr>
      <vt:lpstr>CMR</vt:lpstr>
      <vt:lpstr>Raklap</vt:lpstr>
      <vt:lpstr>Doboz</vt:lpstr>
      <vt:lpstr>szállító HU</vt:lpstr>
      <vt:lpstr>szállító EN</vt:lpstr>
      <vt:lpstr>szállító EN-or</vt:lpstr>
      <vt:lpstr>Etiket - 40db</vt:lpstr>
      <vt:lpstr>2024 prices</vt:lpstr>
      <vt:lpstr>Raktár 2025</vt:lpstr>
      <vt:lpstr>'Gyártás-Csomagolás'!Céglista</vt:lpstr>
      <vt:lpstr>'szállító EN-or'!Nyomtatási_terület</vt:lpstr>
      <vt:lpstr>Termekek</vt:lpstr>
      <vt:lpstr>Vevő_név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Végvári</dc:creator>
  <cp:lastModifiedBy>daniel</cp:lastModifiedBy>
  <cp:lastPrinted>2026-01-19T06:36:56Z</cp:lastPrinted>
  <dcterms:created xsi:type="dcterms:W3CDTF">2020-01-07T09:40:33Z</dcterms:created>
  <dcterms:modified xsi:type="dcterms:W3CDTF">2026-03-03T09:11:15Z</dcterms:modified>
</cp:coreProperties>
</file>